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esktop\"/>
    </mc:Choice>
  </mc:AlternateContent>
  <xr:revisionPtr revIDLastSave="0" documentId="13_ncr:1_{786D91C1-D0CB-47BD-B4E5-CF1B5C0B872D}" xr6:coauthVersionLast="47" xr6:coauthVersionMax="47" xr10:uidLastSave="{00000000-0000-0000-0000-000000000000}"/>
  <bookViews>
    <workbookView xWindow="32480" yWindow="-1600" windowWidth="24300" windowHeight="20970" activeTab="2" xr2:uid="{83DCB353-B03A-46A0-8455-69DC9B1465B7}"/>
  </bookViews>
  <sheets>
    <sheet name="General" sheetId="1" r:id="rId1"/>
    <sheet name="Ranked" sheetId="2" r:id="rId2"/>
    <sheet name="I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3" l="1"/>
  <c r="N116" i="3"/>
  <c r="V98" i="3"/>
  <c r="U98" i="3"/>
  <c r="T98" i="3"/>
  <c r="W73" i="3"/>
  <c r="W48" i="3"/>
  <c r="V48" i="3"/>
  <c r="U48" i="3"/>
  <c r="T48" i="3"/>
  <c r="S48" i="3"/>
  <c r="R48" i="3"/>
  <c r="N51" i="3" s="1"/>
  <c r="Q48" i="3"/>
  <c r="P48" i="3"/>
  <c r="O48" i="3"/>
  <c r="N48" i="3"/>
  <c r="W116" i="3"/>
  <c r="V116" i="3"/>
  <c r="U116" i="3"/>
  <c r="T116" i="3"/>
  <c r="S116" i="3"/>
  <c r="R116" i="3"/>
  <c r="Q116" i="3"/>
  <c r="P116" i="3"/>
  <c r="O116" i="3"/>
  <c r="W91" i="3"/>
  <c r="V91" i="3"/>
  <c r="U91" i="3"/>
  <c r="T91" i="3"/>
  <c r="S91" i="3"/>
  <c r="R91" i="3"/>
  <c r="Q91" i="3"/>
  <c r="P91" i="3"/>
  <c r="O91" i="3"/>
  <c r="N91" i="3"/>
  <c r="W66" i="3"/>
  <c r="V66" i="3"/>
  <c r="U66" i="3"/>
  <c r="T66" i="3"/>
  <c r="S66" i="3"/>
  <c r="R66" i="3"/>
  <c r="Q66" i="3"/>
  <c r="P66" i="3"/>
  <c r="O66" i="3"/>
  <c r="N66" i="3"/>
  <c r="O41" i="3"/>
  <c r="P41" i="3"/>
  <c r="Q41" i="3"/>
  <c r="R41" i="3"/>
  <c r="S41" i="3"/>
  <c r="T41" i="3"/>
  <c r="U41" i="3"/>
  <c r="V41" i="3"/>
  <c r="W41" i="3"/>
  <c r="N41" i="3"/>
  <c r="W120" i="3"/>
  <c r="V120" i="3"/>
  <c r="V123" i="3" s="1"/>
  <c r="U120" i="3"/>
  <c r="T120" i="3"/>
  <c r="S120" i="3"/>
  <c r="R120" i="3"/>
  <c r="Q120" i="3"/>
  <c r="P120" i="3"/>
  <c r="O120" i="3"/>
  <c r="N120" i="3"/>
  <c r="W119" i="3"/>
  <c r="V119" i="3"/>
  <c r="U119" i="3"/>
  <c r="T119" i="3"/>
  <c r="S119" i="3"/>
  <c r="R119" i="3"/>
  <c r="Q119" i="3"/>
  <c r="P119" i="3"/>
  <c r="P123" i="3" s="1"/>
  <c r="O119" i="3"/>
  <c r="O123" i="3" s="1"/>
  <c r="N119" i="3"/>
  <c r="W95" i="3"/>
  <c r="V95" i="3"/>
  <c r="U95" i="3"/>
  <c r="T95" i="3"/>
  <c r="S95" i="3"/>
  <c r="R95" i="3"/>
  <c r="R98" i="3" s="1"/>
  <c r="Q95" i="3"/>
  <c r="Q98" i="3" s="1"/>
  <c r="P95" i="3"/>
  <c r="O95" i="3"/>
  <c r="N95" i="3"/>
  <c r="W94" i="3"/>
  <c r="W98" i="3" s="1"/>
  <c r="V94" i="3"/>
  <c r="U94" i="3"/>
  <c r="T94" i="3"/>
  <c r="S94" i="3"/>
  <c r="S98" i="3" s="1"/>
  <c r="R94" i="3"/>
  <c r="Q94" i="3"/>
  <c r="P94" i="3"/>
  <c r="O94" i="3"/>
  <c r="N94" i="3"/>
  <c r="W70" i="3"/>
  <c r="V70" i="3"/>
  <c r="U70" i="3"/>
  <c r="T70" i="3"/>
  <c r="S70" i="3"/>
  <c r="R70" i="3"/>
  <c r="R73" i="3" s="1"/>
  <c r="Q70" i="3"/>
  <c r="P70" i="3"/>
  <c r="P73" i="3" s="1"/>
  <c r="O70" i="3"/>
  <c r="N70" i="3"/>
  <c r="W69" i="3"/>
  <c r="V69" i="3"/>
  <c r="V73" i="3" s="1"/>
  <c r="U69" i="3"/>
  <c r="T69" i="3"/>
  <c r="S69" i="3"/>
  <c r="S73" i="3" s="1"/>
  <c r="R69" i="3"/>
  <c r="Q69" i="3"/>
  <c r="Q73" i="3" s="1"/>
  <c r="P69" i="3"/>
  <c r="O69" i="3"/>
  <c r="N69" i="3"/>
  <c r="W45" i="3"/>
  <c r="V45" i="3"/>
  <c r="U45" i="3"/>
  <c r="T45" i="3"/>
  <c r="S45" i="3"/>
  <c r="R45" i="3"/>
  <c r="Q45" i="3"/>
  <c r="P45" i="3"/>
  <c r="O45" i="3"/>
  <c r="N45" i="3"/>
  <c r="W44" i="3"/>
  <c r="V44" i="3"/>
  <c r="U44" i="3"/>
  <c r="T44" i="3"/>
  <c r="S44" i="3"/>
  <c r="R44" i="3"/>
  <c r="Q44" i="3"/>
  <c r="P44" i="3"/>
  <c r="O44" i="3"/>
  <c r="N44" i="3"/>
  <c r="O20" i="3"/>
  <c r="P20" i="3"/>
  <c r="Q20" i="3"/>
  <c r="R20" i="3"/>
  <c r="S20" i="3"/>
  <c r="T20" i="3"/>
  <c r="U20" i="3"/>
  <c r="V20" i="3"/>
  <c r="W20" i="3"/>
  <c r="O19" i="3"/>
  <c r="P19" i="3"/>
  <c r="Q19" i="3"/>
  <c r="R19" i="3"/>
  <c r="S19" i="3"/>
  <c r="T19" i="3"/>
  <c r="U19" i="3"/>
  <c r="V19" i="3"/>
  <c r="V23" i="3" s="1"/>
  <c r="W19" i="3"/>
  <c r="N20" i="3"/>
  <c r="N19" i="3"/>
  <c r="N23" i="3" s="1"/>
  <c r="B50" i="1"/>
  <c r="W122" i="3"/>
  <c r="V122" i="3"/>
  <c r="U122" i="3"/>
  <c r="T122" i="3"/>
  <c r="S122" i="3"/>
  <c r="R122" i="3"/>
  <c r="Q122" i="3"/>
  <c r="P122" i="3"/>
  <c r="O122" i="3"/>
  <c r="N122" i="3"/>
  <c r="W97" i="3"/>
  <c r="V97" i="3"/>
  <c r="U97" i="3"/>
  <c r="T97" i="3"/>
  <c r="S97" i="3"/>
  <c r="R97" i="3"/>
  <c r="Q97" i="3"/>
  <c r="P97" i="3"/>
  <c r="O97" i="3"/>
  <c r="N97" i="3"/>
  <c r="W72" i="3"/>
  <c r="V72" i="3"/>
  <c r="U72" i="3"/>
  <c r="T72" i="3"/>
  <c r="S72" i="3"/>
  <c r="R72" i="3"/>
  <c r="Q72" i="3"/>
  <c r="P72" i="3"/>
  <c r="O72" i="3"/>
  <c r="N72" i="3"/>
  <c r="W47" i="3"/>
  <c r="V47" i="3"/>
  <c r="U47" i="3"/>
  <c r="T47" i="3"/>
  <c r="S47" i="3"/>
  <c r="R47" i="3"/>
  <c r="Q47" i="3"/>
  <c r="P47" i="3"/>
  <c r="O47" i="3"/>
  <c r="N47" i="3"/>
  <c r="O22" i="3"/>
  <c r="P22" i="3"/>
  <c r="Q22" i="3"/>
  <c r="R22" i="3"/>
  <c r="S22" i="3"/>
  <c r="T22" i="3"/>
  <c r="U22" i="3"/>
  <c r="V22" i="3"/>
  <c r="W22" i="3"/>
  <c r="N22" i="3"/>
  <c r="O121" i="3"/>
  <c r="P121" i="3"/>
  <c r="Q121" i="3"/>
  <c r="R121" i="3"/>
  <c r="S121" i="3"/>
  <c r="T121" i="3"/>
  <c r="U121" i="3"/>
  <c r="V121" i="3"/>
  <c r="W121" i="3"/>
  <c r="N121" i="3"/>
  <c r="O96" i="3"/>
  <c r="P96" i="3"/>
  <c r="Q96" i="3"/>
  <c r="R96" i="3"/>
  <c r="S96" i="3"/>
  <c r="T96" i="3"/>
  <c r="U96" i="3"/>
  <c r="V96" i="3"/>
  <c r="W96" i="3"/>
  <c r="N96" i="3"/>
  <c r="O71" i="3"/>
  <c r="P71" i="3"/>
  <c r="Q71" i="3"/>
  <c r="R71" i="3"/>
  <c r="S71" i="3"/>
  <c r="T71" i="3"/>
  <c r="U71" i="3"/>
  <c r="V71" i="3"/>
  <c r="W71" i="3"/>
  <c r="N71" i="3"/>
  <c r="O46" i="3"/>
  <c r="P46" i="3"/>
  <c r="Q46" i="3"/>
  <c r="R46" i="3"/>
  <c r="S46" i="3"/>
  <c r="T46" i="3"/>
  <c r="U46" i="3"/>
  <c r="V46" i="3"/>
  <c r="W46" i="3"/>
  <c r="N46" i="3"/>
  <c r="N21" i="3"/>
  <c r="Q21" i="3"/>
  <c r="R21" i="3"/>
  <c r="S21" i="3"/>
  <c r="T21" i="3"/>
  <c r="U21" i="3"/>
  <c r="V21" i="3"/>
  <c r="W21" i="3"/>
  <c r="P21" i="3"/>
  <c r="O21" i="3"/>
  <c r="AD33" i="2"/>
  <c r="AJ26" i="2"/>
  <c r="AI27" i="2"/>
  <c r="AI28" i="2" s="1"/>
  <c r="AI29" i="2" s="1"/>
  <c r="AI30" i="2" s="1"/>
  <c r="AI26" i="2"/>
  <c r="AH27" i="2"/>
  <c r="AH28" i="2"/>
  <c r="AH29" i="2"/>
  <c r="AH26" i="2"/>
  <c r="AF27" i="2"/>
  <c r="AF28" i="2" s="1"/>
  <c r="AF29" i="2" s="1"/>
  <c r="AF30" i="2" s="1"/>
  <c r="AF26" i="2"/>
  <c r="AE27" i="2"/>
  <c r="AE28" i="2"/>
  <c r="AE29" i="2"/>
  <c r="AE26" i="2"/>
  <c r="AJ14" i="2"/>
  <c r="AI15" i="2"/>
  <c r="AI16" i="2" s="1"/>
  <c r="AI17" i="2" s="1"/>
  <c r="AI18" i="2" s="1"/>
  <c r="AI14" i="2"/>
  <c r="AH15" i="2"/>
  <c r="AH16" i="2"/>
  <c r="AH17" i="2"/>
  <c r="AH18" i="2"/>
  <c r="AH14" i="2"/>
  <c r="AF16" i="2"/>
  <c r="AF17" i="2"/>
  <c r="AF18" i="2" s="1"/>
  <c r="AF15" i="2"/>
  <c r="AF14" i="2"/>
  <c r="AE14" i="2"/>
  <c r="AE17" i="2"/>
  <c r="AE15" i="2"/>
  <c r="AE16" i="2"/>
  <c r="AI10" i="2"/>
  <c r="AI11" i="2" s="1"/>
  <c r="AI12" i="2" s="1"/>
  <c r="AJ8" i="2" s="1"/>
  <c r="AI9" i="2"/>
  <c r="AH9" i="2"/>
  <c r="AI8" i="2"/>
  <c r="AH10" i="2"/>
  <c r="AH8" i="2"/>
  <c r="AF12" i="2"/>
  <c r="AE12" i="2"/>
  <c r="AE10" i="2"/>
  <c r="AE9" i="2"/>
  <c r="AE11" i="2"/>
  <c r="AE8" i="2"/>
  <c r="AJ2" i="2"/>
  <c r="AH3" i="2"/>
  <c r="AH2" i="2"/>
  <c r="AE4" i="2"/>
  <c r="AE5" i="2"/>
  <c r="AE6" i="2"/>
  <c r="AE3" i="2"/>
  <c r="N49" i="2"/>
  <c r="Y2" i="2"/>
  <c r="AA2" i="2"/>
  <c r="AH73" i="1"/>
  <c r="AI73" i="1"/>
  <c r="B73" i="1"/>
  <c r="J73" i="1"/>
  <c r="F73" i="1"/>
  <c r="P73" i="1"/>
  <c r="X73" i="1"/>
  <c r="Z73" i="1"/>
  <c r="AF73" i="1"/>
  <c r="AE73" i="1"/>
  <c r="Y73" i="1"/>
  <c r="AD73" i="1"/>
  <c r="W73" i="1"/>
  <c r="V73" i="1"/>
  <c r="U73" i="1"/>
  <c r="T73" i="1"/>
  <c r="S73" i="1"/>
  <c r="R73" i="1"/>
  <c r="Q73" i="1"/>
  <c r="AB73" i="1"/>
  <c r="O73" i="1"/>
  <c r="N73" i="1"/>
  <c r="M73" i="1"/>
  <c r="L73" i="1"/>
  <c r="K73" i="1"/>
  <c r="AA73" i="1"/>
  <c r="I73" i="1"/>
  <c r="H73" i="1"/>
  <c r="G73" i="1"/>
  <c r="AC73" i="1"/>
  <c r="E73" i="1"/>
  <c r="D73" i="1"/>
  <c r="C73" i="1"/>
  <c r="AG73" i="1"/>
  <c r="W31" i="2"/>
  <c r="W2" i="2"/>
  <c r="W8" i="2"/>
  <c r="W14" i="2"/>
  <c r="W26" i="2"/>
  <c r="K34" i="2"/>
  <c r="U31" i="2"/>
  <c r="S31" i="2"/>
  <c r="S2" i="2"/>
  <c r="B62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B48" i="1"/>
  <c r="E4" i="1"/>
  <c r="F4" i="1" s="1"/>
  <c r="G4" i="1" s="1"/>
  <c r="E5" i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W123" i="3" l="1"/>
  <c r="U123" i="3"/>
  <c r="T123" i="3"/>
  <c r="S123" i="3"/>
  <c r="R123" i="3"/>
  <c r="Q123" i="3"/>
  <c r="N123" i="3"/>
  <c r="P98" i="3"/>
  <c r="O98" i="3"/>
  <c r="N98" i="3"/>
  <c r="U73" i="3"/>
  <c r="T73" i="3"/>
  <c r="O73" i="3"/>
  <c r="N73" i="3"/>
  <c r="U23" i="3"/>
  <c r="T23" i="3"/>
  <c r="Q23" i="3"/>
  <c r="S23" i="3"/>
  <c r="N26" i="3" s="1"/>
  <c r="W23" i="3"/>
  <c r="R23" i="3"/>
  <c r="O23" i="3"/>
  <c r="P23" i="3"/>
  <c r="N50" i="3"/>
  <c r="N99" i="3"/>
  <c r="N125" i="3"/>
  <c r="N100" i="3"/>
  <c r="N75" i="3"/>
  <c r="N124" i="3"/>
  <c r="N25" i="3"/>
  <c r="N24" i="3"/>
  <c r="N74" i="3"/>
  <c r="N49" i="3"/>
  <c r="B76" i="1" a="1"/>
  <c r="B76" i="1" s="1"/>
  <c r="AJ48" i="1"/>
  <c r="AJ73" i="1"/>
  <c r="A35" i="1"/>
  <c r="G10" i="1"/>
  <c r="A33" i="1" s="1"/>
  <c r="N126" i="3" l="1"/>
  <c r="N101" i="3"/>
  <c r="N76" i="3"/>
  <c r="Q8" i="3"/>
  <c r="P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<sst xmlns="http://schemas.openxmlformats.org/spreadsheetml/2006/main" count="675" uniqueCount="306">
  <si>
    <t>Testset metrics calculation</t>
  </si>
  <si>
    <t>User</t>
  </si>
  <si>
    <t>Movie</t>
  </si>
  <si>
    <t>Actual</t>
  </si>
  <si>
    <t>Predicted</t>
  </si>
  <si>
    <t xml:space="preserve">Error </t>
  </si>
  <si>
    <t>|Error|</t>
  </si>
  <si>
    <t>Error^2</t>
  </si>
  <si>
    <t>RMSE and MAE</t>
  </si>
  <si>
    <t>RMSE:</t>
  </si>
  <si>
    <t>MAE:</t>
  </si>
  <si>
    <t>SUM</t>
  </si>
  <si>
    <t>Threshold 4</t>
  </si>
  <si>
    <t>Coverage</t>
  </si>
  <si>
    <t>Total items in catalog:</t>
  </si>
  <si>
    <t>items</t>
  </si>
  <si>
    <t>sum</t>
  </si>
  <si>
    <t>Items recommended total</t>
  </si>
  <si>
    <t>Predictions total</t>
  </si>
  <si>
    <t>predictions top 5</t>
  </si>
  <si>
    <t>Items</t>
  </si>
  <si>
    <t>Sum</t>
  </si>
  <si>
    <t>Items top5</t>
  </si>
  <si>
    <t>unique items in top5</t>
  </si>
  <si>
    <t>Coverage top5</t>
  </si>
  <si>
    <t>Coverage overall</t>
  </si>
  <si>
    <t>userId,movieId,predicted_rating</t>
  </si>
  <si>
    <t>1,1,4.8</t>
  </si>
  <si>
    <t>1,6,4.7</t>
  </si>
  <si>
    <t>1,10,4.2</t>
  </si>
  <si>
    <t>1,25,3.8</t>
  </si>
  <si>
    <t>1,40,3.5</t>
  </si>
  <si>
    <t>1,45,3.2</t>
  </si>
  <si>
    <t>1,30,2.9</t>
  </si>
  <si>
    <t>1,35,2.5</t>
  </si>
  <si>
    <t>1,36,2.0</t>
  </si>
  <si>
    <t>1,37,1.5</t>
  </si>
  <si>
    <t>2,1,4.6</t>
  </si>
  <si>
    <t>2,7,4.4</t>
  </si>
  <si>
    <t>2,13,4.5</t>
  </si>
  <si>
    <t>2,16,3.9</t>
  </si>
  <si>
    <t>2,19,4.1</t>
  </si>
  <si>
    <t>2,25,3.8</t>
  </si>
  <si>
    <t>2,31,3.6</t>
  </si>
  <si>
    <t>2,40,3.4</t>
  </si>
  <si>
    <t>2,45,3.1</t>
  </si>
  <si>
    <t>2,30,2.8</t>
  </si>
  <si>
    <t>3,2,4.9</t>
  </si>
  <si>
    <t>3,4,4.8</t>
  </si>
  <si>
    <t>3,6,4.9</t>
  </si>
  <si>
    <t>3,8,4.7</t>
  </si>
  <si>
    <t>3,15,4.6</t>
  </si>
  <si>
    <t>3,18,4.5</t>
  </si>
  <si>
    <t>3,20,4.8</t>
  </si>
  <si>
    <t>3,22,4.4</t>
  </si>
  <si>
    <t>3,31,4.7</t>
  </si>
  <si>
    <t>3,32,5.0</t>
  </si>
  <si>
    <t>4,9,3.0</t>
  </si>
  <si>
    <t>4,24,3.8</t>
  </si>
  <si>
    <t>4,33,3.5</t>
  </si>
  <si>
    <t>4,40,3.2</t>
  </si>
  <si>
    <t>4,5,4.0</t>
  </si>
  <si>
    <t>4,12,3.8</t>
  </si>
  <si>
    <t>4,17,3.5</t>
  </si>
  <si>
    <t>4,21,3.2</t>
  </si>
  <si>
    <t>4,28,2.9</t>
  </si>
  <si>
    <t>4,34,2.5</t>
  </si>
  <si>
    <t>5,1,4.7</t>
  </si>
  <si>
    <t>5,10,4.3</t>
  </si>
  <si>
    <t>5,14,4.4</t>
  </si>
  <si>
    <t>5,17,4.2</t>
  </si>
  <si>
    <t>5,23,4.5</t>
  </si>
  <si>
    <t>5,25,3.9</t>
  </si>
  <si>
    <t>5,31,3.7</t>
  </si>
  <si>
    <t>5,40,3.3</t>
  </si>
  <si>
    <t>5,45,3.0</t>
  </si>
  <si>
    <t>5,30,2.7</t>
  </si>
  <si>
    <t>userId,movieId,rating</t>
  </si>
  <si>
    <t>1,1,3.0</t>
  </si>
  <si>
    <t>1,2,4.0</t>
  </si>
  <si>
    <t>1,3,3.5</t>
  </si>
  <si>
    <t>1,6,4.5</t>
  </si>
  <si>
    <t>1,10,2.5</t>
  </si>
  <si>
    <t>2,1,4.0</t>
  </si>
  <si>
    <t>2,5,3.5</t>
  </si>
  <si>
    <t>2,7,5.0</t>
  </si>
  <si>
    <t>2,11,2.0</t>
  </si>
  <si>
    <t>2,13,3.0</t>
  </si>
  <si>
    <t>2,16,4.5</t>
  </si>
  <si>
    <t>2,19,3.5</t>
  </si>
  <si>
    <t>3,2,3.0</t>
  </si>
  <si>
    <t>3,4,4.0</t>
  </si>
  <si>
    <t>3,6,3.5</t>
  </si>
  <si>
    <t>3,8,4.5</t>
  </si>
  <si>
    <t>3,15,5.0</t>
  </si>
  <si>
    <t>3,18,2.5</t>
  </si>
  <si>
    <t>3,20,3.0</t>
  </si>
  <si>
    <t>3,22,4.0</t>
  </si>
  <si>
    <t>3,31,3.5</t>
  </si>
  <si>
    <t>3,32,4.0</t>
  </si>
  <si>
    <t>4,3,2.5</t>
  </si>
  <si>
    <t>4,24,3.5</t>
  </si>
  <si>
    <t>4,26,4.0</t>
  </si>
  <si>
    <t>4,33,3.0</t>
  </si>
  <si>
    <t>4,34,3.5</t>
  </si>
  <si>
    <t>4,40,2.0</t>
  </si>
  <si>
    <t>5,1,4.5</t>
  </si>
  <si>
    <t>5,6,3.5</t>
  </si>
  <si>
    <t>5,10,4.0</t>
  </si>
  <si>
    <t>5,12,3.0</t>
  </si>
  <si>
    <t>5,14,5.0</t>
  </si>
  <si>
    <t>5,17,2.5</t>
  </si>
  <si>
    <t>5,21,3.5</t>
  </si>
  <si>
    <t>5,23,4.0</t>
  </si>
  <si>
    <t>top 5</t>
  </si>
  <si>
    <t>x</t>
  </si>
  <si>
    <t>(1 + 1+1+0+1)/5 = 0.8</t>
  </si>
  <si>
    <t>precision:</t>
  </si>
  <si>
    <t>Precision</t>
  </si>
  <si>
    <t>1/5</t>
  </si>
  <si>
    <t>2/5</t>
  </si>
  <si>
    <t>0/5</t>
  </si>
  <si>
    <t>3/5</t>
  </si>
  <si>
    <t>recall:</t>
  </si>
  <si>
    <t>Recall</t>
  </si>
  <si>
    <t>1/2</t>
  </si>
  <si>
    <t>0</t>
  </si>
  <si>
    <t>3/4</t>
  </si>
  <si>
    <t>hitrate</t>
  </si>
  <si>
    <t xml:space="preserve">hit rate </t>
  </si>
  <si>
    <t>3/3</t>
  </si>
  <si>
    <t>Hits</t>
  </si>
  <si>
    <t>Total hits</t>
  </si>
  <si>
    <t>1,7,16</t>
  </si>
  <si>
    <t>1, 10, 14, 23</t>
  </si>
  <si>
    <t>4/5</t>
  </si>
  <si>
    <t>F1</t>
  </si>
  <si>
    <t>avr</t>
  </si>
  <si>
    <t>MAP</t>
  </si>
  <si>
    <t>MRR</t>
  </si>
  <si>
    <t>NDCG</t>
  </si>
  <si>
    <t>ILD</t>
  </si>
  <si>
    <t>RMSE</t>
  </si>
  <si>
    <t>MAE</t>
  </si>
  <si>
    <t>Overall Coverage</t>
  </si>
  <si>
    <t>Reverse Gini</t>
  </si>
  <si>
    <t>HitRate@5</t>
  </si>
  <si>
    <t>Precision@5</t>
  </si>
  <si>
    <t>Recall@5</t>
  </si>
  <si>
    <t>F1@5</t>
  </si>
  <si>
    <t>NDCG@5</t>
  </si>
  <si>
    <t>MAP@5</t>
  </si>
  <si>
    <t>MRR@5</t>
  </si>
  <si>
    <t>Coverage@5</t>
  </si>
  <si>
    <t>ILD@5</t>
  </si>
  <si>
    <t>Test2</t>
  </si>
  <si>
    <t xml:space="preserve"> Model metrics</t>
  </si>
  <si>
    <t>DCG</t>
  </si>
  <si>
    <t>IDCG</t>
  </si>
  <si>
    <t>gt sorted</t>
  </si>
  <si>
    <t>actual R</t>
  </si>
  <si>
    <t>in gt</t>
  </si>
  <si>
    <t>6,4.5</t>
  </si>
  <si>
    <t>2,4.0</t>
  </si>
  <si>
    <t>3,3.5</t>
  </si>
  <si>
    <t>1,3.0</t>
  </si>
  <si>
    <t>10,2.5</t>
  </si>
  <si>
    <t>IDCG sum</t>
  </si>
  <si>
    <t>DCG sum</t>
  </si>
  <si>
    <t>7,5.0</t>
  </si>
  <si>
    <t>16,4.5</t>
  </si>
  <si>
    <t>1,4.0</t>
  </si>
  <si>
    <t>5,3.5</t>
  </si>
  <si>
    <t>19,3.5</t>
  </si>
  <si>
    <t>15,5.0</t>
  </si>
  <si>
    <t>8,4.5</t>
  </si>
  <si>
    <t>4,4.0</t>
  </si>
  <si>
    <t>22,4.0</t>
  </si>
  <si>
    <t>32,4.0</t>
  </si>
  <si>
    <t>14,5.0</t>
  </si>
  <si>
    <t>1,4.5</t>
  </si>
  <si>
    <t>10,4.0</t>
  </si>
  <si>
    <t>23.4.0</t>
  </si>
  <si>
    <t>21,3.5</t>
  </si>
  <si>
    <t xml:space="preserve">NDCG@5 </t>
  </si>
  <si>
    <t>User rankings</t>
  </si>
  <si>
    <t>GT</t>
  </si>
  <si>
    <t>top@5</t>
  </si>
  <si>
    <t>User 1 movies and genres</t>
  </si>
  <si>
    <r>
      <t>Movie 1:</t>
    </r>
    <r>
      <rPr>
        <sz val="11"/>
        <color theme="1"/>
        <rFont val="Aptos Narrow"/>
        <family val="2"/>
        <scheme val="minor"/>
      </rPr>
      <t xml:space="preserve"> Adventure, Animation, Children, Comedy, Fantasy</t>
    </r>
  </si>
  <si>
    <r>
      <t>Movie 6:</t>
    </r>
    <r>
      <rPr>
        <sz val="11"/>
        <color theme="1"/>
        <rFont val="Aptos Narrow"/>
        <family val="2"/>
        <scheme val="minor"/>
      </rPr>
      <t xml:space="preserve"> Action, Crime, Thriller</t>
    </r>
  </si>
  <si>
    <r>
      <t>Movie 10:</t>
    </r>
    <r>
      <rPr>
        <sz val="11"/>
        <color theme="1"/>
        <rFont val="Aptos Narrow"/>
        <family val="2"/>
        <scheme val="minor"/>
      </rPr>
      <t xml:space="preserve"> Action, Adventure, Thriller</t>
    </r>
  </si>
  <si>
    <r>
      <t>Movie 25:</t>
    </r>
    <r>
      <rPr>
        <sz val="11"/>
        <color theme="1"/>
        <rFont val="Aptos Narrow"/>
        <family val="2"/>
        <scheme val="minor"/>
      </rPr>
      <t xml:space="preserve"> Drama, Romance</t>
    </r>
  </si>
  <si>
    <r>
      <t>Movie 40:</t>
    </r>
    <r>
      <rPr>
        <sz val="11"/>
        <color theme="1"/>
        <rFont val="Aptos Narrow"/>
        <family val="2"/>
        <scheme val="minor"/>
      </rPr>
      <t xml:space="preserve"> Drama</t>
    </r>
  </si>
  <si>
    <t xml:space="preserve">pairs </t>
  </si>
  <si>
    <t>1 6</t>
  </si>
  <si>
    <t>1 10</t>
  </si>
  <si>
    <t>1 25</t>
  </si>
  <si>
    <t>1 40</t>
  </si>
  <si>
    <t>6 10</t>
  </si>
  <si>
    <t>6 25</t>
  </si>
  <si>
    <t>6 40</t>
  </si>
  <si>
    <t>10 25</t>
  </si>
  <si>
    <t>10 40</t>
  </si>
  <si>
    <t>25 40</t>
  </si>
  <si>
    <t>User 2 Movies and genres</t>
  </si>
  <si>
    <r>
      <t>Movie 13:</t>
    </r>
    <r>
      <rPr>
        <sz val="11"/>
        <color theme="1"/>
        <rFont val="Aptos Narrow"/>
        <family val="2"/>
        <scheme val="minor"/>
      </rPr>
      <t xml:space="preserve"> Adventure, Animation, Children</t>
    </r>
  </si>
  <si>
    <r>
      <t>Movie 7:</t>
    </r>
    <r>
      <rPr>
        <sz val="11"/>
        <color theme="1"/>
        <rFont val="Aptos Narrow"/>
        <family val="2"/>
        <scheme val="minor"/>
      </rPr>
      <t xml:space="preserve"> Comedy, Romance</t>
    </r>
  </si>
  <si>
    <r>
      <t>Movie 19:</t>
    </r>
    <r>
      <rPr>
        <sz val="11"/>
        <color theme="1"/>
        <rFont val="Aptos Narrow"/>
        <family val="2"/>
        <scheme val="minor"/>
      </rPr>
      <t xml:space="preserve"> Comedy</t>
    </r>
  </si>
  <si>
    <r>
      <t>Movie 16:</t>
    </r>
    <r>
      <rPr>
        <sz val="11"/>
        <color theme="1"/>
        <rFont val="Aptos Narrow"/>
        <family val="2"/>
        <scheme val="minor"/>
      </rPr>
      <t xml:space="preserve"> Crime, Drama</t>
    </r>
  </si>
  <si>
    <t>1 13</t>
  </si>
  <si>
    <t>1 7</t>
  </si>
  <si>
    <t>1 19</t>
  </si>
  <si>
    <t>1 16</t>
  </si>
  <si>
    <t>13 7</t>
  </si>
  <si>
    <t>13 19</t>
  </si>
  <si>
    <t>13 16</t>
  </si>
  <si>
    <t>7 19</t>
  </si>
  <si>
    <t>7 16</t>
  </si>
  <si>
    <t>19 16</t>
  </si>
  <si>
    <t>User 3 Movies and genres</t>
  </si>
  <si>
    <r>
      <t>Movie 32:</t>
    </r>
    <r>
      <rPr>
        <sz val="11"/>
        <color theme="1"/>
        <rFont val="Aptos Narrow"/>
        <family val="2"/>
        <scheme val="minor"/>
      </rPr>
      <t xml:space="preserve"> Mystery, Sci-Fi, Thriller</t>
    </r>
  </si>
  <si>
    <r>
      <t>Movie 2:</t>
    </r>
    <r>
      <rPr>
        <sz val="11"/>
        <color theme="1"/>
        <rFont val="Aptos Narrow"/>
        <family val="2"/>
        <scheme val="minor"/>
      </rPr>
      <t xml:space="preserve"> Adventure, Children, Fantasy</t>
    </r>
  </si>
  <si>
    <r>
      <t>Movie 4:</t>
    </r>
    <r>
      <rPr>
        <sz val="11"/>
        <color theme="1"/>
        <rFont val="Aptos Narrow"/>
        <family val="2"/>
        <scheme val="minor"/>
      </rPr>
      <t xml:space="preserve"> Comedy, Drama, Romance</t>
    </r>
  </si>
  <si>
    <r>
      <t>Movie 20:</t>
    </r>
    <r>
      <rPr>
        <sz val="11"/>
        <color theme="1"/>
        <rFont val="Aptos Narrow"/>
        <family val="2"/>
        <scheme val="minor"/>
      </rPr>
      <t xml:space="preserve"> Action, Comedy, Crime, Drama, Thriller</t>
    </r>
  </si>
  <si>
    <t>32 2</t>
  </si>
  <si>
    <t>32 6</t>
  </si>
  <si>
    <t>32 4</t>
  </si>
  <si>
    <t>32 20</t>
  </si>
  <si>
    <t>2 6</t>
  </si>
  <si>
    <t>2 4</t>
  </si>
  <si>
    <t>2 20</t>
  </si>
  <si>
    <t>6 4</t>
  </si>
  <si>
    <t>6 20</t>
  </si>
  <si>
    <t>4 20</t>
  </si>
  <si>
    <r>
      <t>Movie 5:</t>
    </r>
    <r>
      <rPr>
        <sz val="11"/>
        <color theme="1"/>
        <rFont val="Aptos Narrow"/>
        <family val="2"/>
        <scheme val="minor"/>
      </rPr>
      <t xml:space="preserve"> Comedy</t>
    </r>
  </si>
  <si>
    <r>
      <t>Movie 24:</t>
    </r>
    <r>
      <rPr>
        <sz val="11"/>
        <color theme="1"/>
        <rFont val="Aptos Narrow"/>
        <family val="2"/>
        <scheme val="minor"/>
      </rPr>
      <t xml:space="preserve"> Drama, Sci-Fi</t>
    </r>
  </si>
  <si>
    <r>
      <t>Movie 12:</t>
    </r>
    <r>
      <rPr>
        <sz val="11"/>
        <color theme="1"/>
        <rFont val="Aptos Narrow"/>
        <family val="2"/>
        <scheme val="minor"/>
      </rPr>
      <t xml:space="preserve"> Comedy, Horror</t>
    </r>
  </si>
  <si>
    <r>
      <t>Movie 17:</t>
    </r>
    <r>
      <rPr>
        <sz val="11"/>
        <color theme="1"/>
        <rFont val="Aptos Narrow"/>
        <family val="2"/>
        <scheme val="minor"/>
      </rPr>
      <t xml:space="preserve"> Drama, Romance</t>
    </r>
  </si>
  <si>
    <r>
      <t>Movie 33:</t>
    </r>
    <r>
      <rPr>
        <sz val="11"/>
        <color theme="1"/>
        <rFont val="Aptos Narrow"/>
        <family val="2"/>
        <scheme val="minor"/>
      </rPr>
      <t xml:space="preserve"> Adventure, Romance, IMAX</t>
    </r>
  </si>
  <si>
    <t>5 24</t>
  </si>
  <si>
    <t>5 12</t>
  </si>
  <si>
    <t>5 17</t>
  </si>
  <si>
    <t>5 33</t>
  </si>
  <si>
    <t>24 12</t>
  </si>
  <si>
    <t>24 17</t>
  </si>
  <si>
    <t>24 33</t>
  </si>
  <si>
    <t>12 17</t>
  </si>
  <si>
    <t>12 33</t>
  </si>
  <si>
    <t>17 33</t>
  </si>
  <si>
    <t>User 5 Movies and genres</t>
  </si>
  <si>
    <t>User 4 Movies and genres</t>
  </si>
  <si>
    <r>
      <t>Movie 23:</t>
    </r>
    <r>
      <rPr>
        <sz val="11"/>
        <color theme="1"/>
        <rFont val="Aptos Narrow"/>
        <family val="2"/>
        <scheme val="minor"/>
      </rPr>
      <t xml:space="preserve"> Action, Crime, Thriller</t>
    </r>
  </si>
  <si>
    <r>
      <t>Movie 14:</t>
    </r>
    <r>
      <rPr>
        <sz val="11"/>
        <color theme="1"/>
        <rFont val="Aptos Narrow"/>
        <family val="2"/>
        <scheme val="minor"/>
      </rPr>
      <t xml:space="preserve"> Drama</t>
    </r>
  </si>
  <si>
    <t>1 23</t>
  </si>
  <si>
    <t>1 14</t>
  </si>
  <si>
    <t>1 17</t>
  </si>
  <si>
    <t>23 14</t>
  </si>
  <si>
    <t>23 10</t>
  </si>
  <si>
    <t>23 17</t>
  </si>
  <si>
    <t>14 10</t>
  </si>
  <si>
    <t>14 17</t>
  </si>
  <si>
    <t>10 17</t>
  </si>
  <si>
    <t>All movies are represented as binary vectors across 14 genres:</t>
  </si>
  <si>
    <t>Action, Adventure, Animation, Children, Comedy, Crime, Drama, Fantasy, Horror, IMAX, Mystery, Romance, Sci-Fi, Thriller</t>
  </si>
  <si>
    <t>0,1,1,1,1,0,0,1,0,0,0,0,0,0</t>
  </si>
  <si>
    <t>1,0,0,0,0,1,0,0,0,0,0,0,0,1</t>
  </si>
  <si>
    <t>1,1,0,0,0,0,0,0,0,0,0,0,0,1</t>
  </si>
  <si>
    <t>0,0,0,0,0,0,1,0,0,0,0,0,0,0</t>
  </si>
  <si>
    <t>0,1,1,1,0,0,0,0,0,0,0,0,0,0</t>
  </si>
  <si>
    <t>0,0,0,0,1,0,0,0,0,0,0,1,0,0</t>
  </si>
  <si>
    <t>0,0,0,0,1,0,0,0,0,0,0,0,0,0</t>
  </si>
  <si>
    <t>0,0,0,0,0,1,1,0,0,0,0,0,0,0</t>
  </si>
  <si>
    <t>0,0,0,0,0,0,0,0,0,0,1,0,1,1</t>
  </si>
  <si>
    <t>0,1,0,1,0,0,0,1,0,0,0,0,0,0</t>
  </si>
  <si>
    <t>0,0,0,0,1,0,1,0,0,0,0,1,0,0</t>
  </si>
  <si>
    <t>1,0,0,0,1,1,1,0,0,0,0,0,0,1</t>
  </si>
  <si>
    <t>0,0,0,0,0,0,1,0,0,0,0,0,0,1</t>
  </si>
  <si>
    <t>0,0,0,0,0,0,1,0,0,0,0,0,1,0</t>
  </si>
  <si>
    <t>0,0,0,0,1,0,0,0,1,0,0,0,0,0</t>
  </si>
  <si>
    <t>0,1,0,0,0,0,0,0,0,1,0,1,0,0</t>
  </si>
  <si>
    <t xml:space="preserve">left </t>
  </si>
  <si>
    <t>right</t>
  </si>
  <si>
    <t>Dif</t>
  </si>
  <si>
    <t>genres:</t>
  </si>
  <si>
    <t>0,0,0,0,0,0,1,0,0,0,0,1,0,0</t>
  </si>
  <si>
    <t>avg hamming</t>
  </si>
  <si>
    <t>dif</t>
  </si>
  <si>
    <t>AVG hamming</t>
  </si>
  <si>
    <t>intersection</t>
  </si>
  <si>
    <t>cos dist</t>
  </si>
  <si>
    <t>avg jaccard</t>
  </si>
  <si>
    <t>avg cosine</t>
  </si>
  <si>
    <t>hammer distance</t>
  </si>
  <si>
    <t>jaccard distance</t>
  </si>
  <si>
    <t>cosine distance</t>
  </si>
  <si>
    <t>Hammer distance</t>
  </si>
  <si>
    <t>Intersection</t>
  </si>
  <si>
    <t>Hamming distance</t>
  </si>
  <si>
    <t>Union</t>
  </si>
  <si>
    <t>Dot product</t>
  </si>
  <si>
    <t>length left</t>
  </si>
  <si>
    <t>length right</t>
  </si>
  <si>
    <t>sum of left</t>
  </si>
  <si>
    <t>sum of right</t>
  </si>
  <si>
    <t>avg 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</si>
</sst>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0.0000_ ;\-#,##0.0000\ 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49" fontId="0" fillId="0" borderId="0" xfId="0" applyNumberFormat="1"/>
    <xf numFmtId="0" fontId="4" fillId="0" borderId="0" xfId="0" applyFont="1"/>
    <xf numFmtId="0" fontId="5" fillId="0" borderId="0" xfId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DCG@5%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op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A095-02E9-4F27-AAFD-F4F0C9D0DA26}">
  <dimension ref="A1:AJ76"/>
  <sheetViews>
    <sheetView workbookViewId="0">
      <selection activeCell="J14" sqref="J14"/>
    </sheetView>
  </sheetViews>
  <sheetFormatPr defaultRowHeight="15" x14ac:dyDescent="0.25"/>
  <cols>
    <col min="1" max="1" width="25" bestFit="1" customWidth="1"/>
    <col min="2" max="2" width="14.7109375" bestFit="1" customWidth="1"/>
    <col min="3" max="3" width="11" bestFit="1" customWidth="1"/>
    <col min="5" max="5" width="13.85546875" customWidth="1"/>
  </cols>
  <sheetData>
    <row r="1" spans="1:18" x14ac:dyDescent="0.25">
      <c r="A1" t="s">
        <v>0</v>
      </c>
    </row>
    <row r="2" spans="1:18" x14ac:dyDescent="0.25">
      <c r="A2" s="4" t="s">
        <v>8</v>
      </c>
    </row>
    <row r="3" spans="1:1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8" x14ac:dyDescent="0.25">
      <c r="A4">
        <v>1</v>
      </c>
      <c r="B4">
        <v>1</v>
      </c>
      <c r="C4">
        <v>3</v>
      </c>
      <c r="D4">
        <v>4.8</v>
      </c>
      <c r="E4" s="1">
        <f>C4-D4</f>
        <v>-1.7999999999999998</v>
      </c>
      <c r="F4" s="1">
        <f>ABS(E4)</f>
        <v>1.7999999999999998</v>
      </c>
      <c r="G4" s="1">
        <f>F4*F4</f>
        <v>3.2399999999999993</v>
      </c>
    </row>
    <row r="5" spans="1:18" x14ac:dyDescent="0.25">
      <c r="A5">
        <v>1</v>
      </c>
      <c r="B5">
        <v>6</v>
      </c>
      <c r="C5">
        <v>4.5</v>
      </c>
      <c r="D5">
        <v>4.7</v>
      </c>
      <c r="E5" s="1">
        <f t="shared" ref="E5:E30" si="0">C5-D5</f>
        <v>-0.20000000000000018</v>
      </c>
      <c r="F5" s="1">
        <f t="shared" ref="F5:F30" si="1">ABS(E5)</f>
        <v>0.20000000000000018</v>
      </c>
      <c r="G5" s="1">
        <f t="shared" ref="G5:G30" si="2">F5*F5</f>
        <v>4.000000000000007E-2</v>
      </c>
    </row>
    <row r="6" spans="1:18" x14ac:dyDescent="0.25">
      <c r="A6">
        <v>1</v>
      </c>
      <c r="B6">
        <v>10</v>
      </c>
      <c r="C6">
        <v>2.5</v>
      </c>
      <c r="D6">
        <v>4.2</v>
      </c>
      <c r="E6" s="1">
        <f t="shared" si="0"/>
        <v>-1.7000000000000002</v>
      </c>
      <c r="F6" s="1">
        <f t="shared" si="1"/>
        <v>1.7000000000000002</v>
      </c>
      <c r="G6" s="1">
        <f t="shared" si="2"/>
        <v>2.8900000000000006</v>
      </c>
    </row>
    <row r="7" spans="1:18" x14ac:dyDescent="0.25">
      <c r="A7">
        <v>2</v>
      </c>
      <c r="B7">
        <v>1</v>
      </c>
      <c r="C7">
        <v>4</v>
      </c>
      <c r="D7">
        <v>4.5999999999999996</v>
      </c>
      <c r="E7" s="1">
        <f t="shared" si="0"/>
        <v>-0.59999999999999964</v>
      </c>
      <c r="F7" s="1">
        <f t="shared" si="1"/>
        <v>0.59999999999999964</v>
      </c>
      <c r="G7" s="1">
        <f t="shared" si="2"/>
        <v>0.3599999999999996</v>
      </c>
    </row>
    <row r="8" spans="1:18" x14ac:dyDescent="0.25">
      <c r="A8">
        <v>2</v>
      </c>
      <c r="B8">
        <v>13</v>
      </c>
      <c r="C8">
        <v>3</v>
      </c>
      <c r="D8">
        <v>4.5</v>
      </c>
      <c r="E8" s="1">
        <f t="shared" si="0"/>
        <v>-1.5</v>
      </c>
      <c r="F8" s="1">
        <f t="shared" si="1"/>
        <v>1.5</v>
      </c>
      <c r="G8" s="1">
        <f t="shared" si="2"/>
        <v>2.25</v>
      </c>
    </row>
    <row r="9" spans="1:18" x14ac:dyDescent="0.25">
      <c r="A9">
        <v>2</v>
      </c>
      <c r="B9">
        <v>7</v>
      </c>
      <c r="C9">
        <v>5</v>
      </c>
      <c r="D9">
        <v>4.4000000000000004</v>
      </c>
      <c r="E9" s="1">
        <f t="shared" si="0"/>
        <v>0.59999999999999964</v>
      </c>
      <c r="F9" s="1">
        <f t="shared" si="1"/>
        <v>0.59999999999999964</v>
      </c>
      <c r="G9" s="1">
        <f t="shared" si="2"/>
        <v>0.3599999999999996</v>
      </c>
    </row>
    <row r="10" spans="1:18" x14ac:dyDescent="0.25">
      <c r="A10">
        <v>2</v>
      </c>
      <c r="B10">
        <v>19</v>
      </c>
      <c r="C10">
        <v>3.5</v>
      </c>
      <c r="D10">
        <v>4.0999999999999996</v>
      </c>
      <c r="E10" s="1">
        <f t="shared" si="0"/>
        <v>-0.59999999999999964</v>
      </c>
      <c r="F10" s="1">
        <f t="shared" si="1"/>
        <v>0.59999999999999964</v>
      </c>
      <c r="G10" s="1">
        <f t="shared" si="2"/>
        <v>0.3599999999999996</v>
      </c>
    </row>
    <row r="11" spans="1:18" x14ac:dyDescent="0.25">
      <c r="A11">
        <v>2</v>
      </c>
      <c r="B11">
        <v>16</v>
      </c>
      <c r="C11">
        <v>4.5</v>
      </c>
      <c r="D11">
        <v>3.9</v>
      </c>
      <c r="E11" s="1">
        <f t="shared" si="0"/>
        <v>0.60000000000000009</v>
      </c>
      <c r="F11" s="1">
        <f t="shared" si="1"/>
        <v>0.60000000000000009</v>
      </c>
      <c r="G11" s="1">
        <f t="shared" si="2"/>
        <v>0.3600000000000001</v>
      </c>
    </row>
    <row r="12" spans="1:18" x14ac:dyDescent="0.25">
      <c r="A12">
        <v>3</v>
      </c>
      <c r="B12">
        <v>32</v>
      </c>
      <c r="C12">
        <v>4</v>
      </c>
      <c r="D12">
        <v>5</v>
      </c>
      <c r="E12" s="1">
        <f t="shared" si="0"/>
        <v>-1</v>
      </c>
      <c r="F12" s="1">
        <f t="shared" si="1"/>
        <v>1</v>
      </c>
      <c r="G12" s="1">
        <f t="shared" si="2"/>
        <v>1</v>
      </c>
      <c r="N12" s="2"/>
      <c r="O12" s="3"/>
      <c r="P12" s="2"/>
      <c r="Q12" s="2"/>
      <c r="R12" s="2"/>
    </row>
    <row r="13" spans="1:18" x14ac:dyDescent="0.25">
      <c r="A13">
        <v>3</v>
      </c>
      <c r="B13">
        <v>2</v>
      </c>
      <c r="C13">
        <v>3</v>
      </c>
      <c r="D13">
        <v>4.9000000000000004</v>
      </c>
      <c r="E13" s="1">
        <f t="shared" si="0"/>
        <v>-1.9000000000000004</v>
      </c>
      <c r="F13" s="1">
        <f t="shared" si="1"/>
        <v>1.9000000000000004</v>
      </c>
      <c r="G13" s="1">
        <f t="shared" si="2"/>
        <v>3.6100000000000012</v>
      </c>
      <c r="N13" s="2"/>
      <c r="O13" s="2"/>
      <c r="P13" s="2"/>
      <c r="Q13" s="2"/>
      <c r="R13" s="2"/>
    </row>
    <row r="14" spans="1:18" x14ac:dyDescent="0.25">
      <c r="A14">
        <v>3</v>
      </c>
      <c r="B14">
        <v>6</v>
      </c>
      <c r="C14">
        <v>3.5</v>
      </c>
      <c r="D14">
        <v>4.9000000000000004</v>
      </c>
      <c r="E14" s="1">
        <f t="shared" si="0"/>
        <v>-1.4000000000000004</v>
      </c>
      <c r="F14" s="1">
        <f t="shared" si="1"/>
        <v>1.4000000000000004</v>
      </c>
      <c r="G14" s="1">
        <f t="shared" si="2"/>
        <v>1.9600000000000011</v>
      </c>
      <c r="N14" s="2"/>
      <c r="O14" s="2"/>
      <c r="P14" s="2"/>
      <c r="Q14" s="2"/>
      <c r="R14" s="2"/>
    </row>
    <row r="15" spans="1:18" x14ac:dyDescent="0.25">
      <c r="A15">
        <v>3</v>
      </c>
      <c r="B15">
        <v>4</v>
      </c>
      <c r="C15">
        <v>4</v>
      </c>
      <c r="D15">
        <v>4.8</v>
      </c>
      <c r="E15" s="1">
        <f t="shared" si="0"/>
        <v>-0.79999999999999982</v>
      </c>
      <c r="F15" s="1">
        <f t="shared" si="1"/>
        <v>0.79999999999999982</v>
      </c>
      <c r="G15" s="1">
        <f t="shared" si="2"/>
        <v>0.63999999999999968</v>
      </c>
    </row>
    <row r="16" spans="1:18" x14ac:dyDescent="0.25">
      <c r="A16">
        <v>3</v>
      </c>
      <c r="B16">
        <v>20</v>
      </c>
      <c r="C16">
        <v>3</v>
      </c>
      <c r="D16">
        <v>4.8</v>
      </c>
      <c r="E16" s="1">
        <f t="shared" si="0"/>
        <v>-1.7999999999999998</v>
      </c>
      <c r="F16" s="1">
        <f t="shared" si="1"/>
        <v>1.7999999999999998</v>
      </c>
      <c r="G16" s="1">
        <f t="shared" si="2"/>
        <v>3.2399999999999993</v>
      </c>
    </row>
    <row r="17" spans="1:26" x14ac:dyDescent="0.25">
      <c r="A17">
        <v>3</v>
      </c>
      <c r="B17">
        <v>8</v>
      </c>
      <c r="C17">
        <v>4.5</v>
      </c>
      <c r="D17">
        <v>4.7</v>
      </c>
      <c r="E17" s="1">
        <f t="shared" si="0"/>
        <v>-0.20000000000000018</v>
      </c>
      <c r="F17" s="1">
        <f t="shared" si="1"/>
        <v>0.20000000000000018</v>
      </c>
      <c r="G17" s="1">
        <f t="shared" si="2"/>
        <v>4.000000000000007E-2</v>
      </c>
    </row>
    <row r="18" spans="1:26" x14ac:dyDescent="0.25">
      <c r="A18">
        <v>3</v>
      </c>
      <c r="B18">
        <v>31</v>
      </c>
      <c r="C18">
        <v>3.5</v>
      </c>
      <c r="D18">
        <v>4.7</v>
      </c>
      <c r="E18" s="1">
        <f t="shared" si="0"/>
        <v>-1.2000000000000002</v>
      </c>
      <c r="F18" s="1">
        <f t="shared" si="1"/>
        <v>1.2000000000000002</v>
      </c>
      <c r="G18" s="1">
        <f t="shared" si="2"/>
        <v>1.4400000000000004</v>
      </c>
    </row>
    <row r="19" spans="1:26" x14ac:dyDescent="0.25">
      <c r="A19">
        <v>3</v>
      </c>
      <c r="B19">
        <v>15</v>
      </c>
      <c r="C19">
        <v>5</v>
      </c>
      <c r="D19">
        <v>4.5999999999999996</v>
      </c>
      <c r="E19" s="1">
        <f t="shared" si="0"/>
        <v>0.40000000000000036</v>
      </c>
      <c r="F19" s="1">
        <f t="shared" si="1"/>
        <v>0.40000000000000036</v>
      </c>
      <c r="G19" s="1">
        <f t="shared" si="2"/>
        <v>0.16000000000000028</v>
      </c>
    </row>
    <row r="20" spans="1:26" x14ac:dyDescent="0.25">
      <c r="A20">
        <v>3</v>
      </c>
      <c r="B20">
        <v>18</v>
      </c>
      <c r="C20">
        <v>2.5</v>
      </c>
      <c r="D20">
        <v>4.5</v>
      </c>
      <c r="E20" s="1">
        <f t="shared" si="0"/>
        <v>-2</v>
      </c>
      <c r="F20" s="1">
        <f t="shared" si="1"/>
        <v>2</v>
      </c>
      <c r="G20" s="1">
        <f t="shared" si="2"/>
        <v>4</v>
      </c>
    </row>
    <row r="21" spans="1:26" x14ac:dyDescent="0.25">
      <c r="A21">
        <v>3</v>
      </c>
      <c r="B21">
        <v>22</v>
      </c>
      <c r="C21">
        <v>4</v>
      </c>
      <c r="D21">
        <v>4.4000000000000004</v>
      </c>
      <c r="E21" s="1">
        <f t="shared" si="0"/>
        <v>-0.40000000000000036</v>
      </c>
      <c r="F21" s="1">
        <f t="shared" si="1"/>
        <v>0.40000000000000036</v>
      </c>
      <c r="G21" s="1">
        <f t="shared" si="2"/>
        <v>0.16000000000000028</v>
      </c>
    </row>
    <row r="22" spans="1:26" x14ac:dyDescent="0.25">
      <c r="A22">
        <v>4</v>
      </c>
      <c r="B22">
        <v>24</v>
      </c>
      <c r="C22">
        <v>3.5</v>
      </c>
      <c r="D22">
        <v>3.8</v>
      </c>
      <c r="E22" s="1">
        <f t="shared" si="0"/>
        <v>-0.29999999999999982</v>
      </c>
      <c r="F22" s="1">
        <f t="shared" si="1"/>
        <v>0.29999999999999982</v>
      </c>
      <c r="G22" s="1">
        <f t="shared" si="2"/>
        <v>8.99999999999999E-2</v>
      </c>
      <c r="M22" t="s">
        <v>156</v>
      </c>
    </row>
    <row r="23" spans="1:26" x14ac:dyDescent="0.25">
      <c r="A23">
        <v>4</v>
      </c>
      <c r="B23">
        <v>33</v>
      </c>
      <c r="C23">
        <v>3</v>
      </c>
      <c r="D23">
        <v>3.5</v>
      </c>
      <c r="E23" s="1">
        <f t="shared" si="0"/>
        <v>-0.5</v>
      </c>
      <c r="F23" s="1">
        <f t="shared" si="1"/>
        <v>0.5</v>
      </c>
      <c r="G23" s="1">
        <f t="shared" si="2"/>
        <v>0.25</v>
      </c>
      <c r="N23" t="s">
        <v>142</v>
      </c>
      <c r="O23" t="s">
        <v>143</v>
      </c>
      <c r="P23" t="s">
        <v>144</v>
      </c>
      <c r="Q23" t="s">
        <v>145</v>
      </c>
      <c r="R23" t="s">
        <v>146</v>
      </c>
      <c r="S23" t="s">
        <v>147</v>
      </c>
      <c r="T23" t="s">
        <v>148</v>
      </c>
      <c r="U23" t="s">
        <v>149</v>
      </c>
      <c r="V23" t="s">
        <v>150</v>
      </c>
      <c r="W23" t="s">
        <v>151</v>
      </c>
      <c r="X23" t="s">
        <v>152</v>
      </c>
      <c r="Y23" t="s">
        <v>153</v>
      </c>
      <c r="Z23" t="s">
        <v>154</v>
      </c>
    </row>
    <row r="24" spans="1:26" x14ac:dyDescent="0.25">
      <c r="A24">
        <v>4</v>
      </c>
      <c r="B24">
        <v>40</v>
      </c>
      <c r="C24">
        <v>2</v>
      </c>
      <c r="D24">
        <v>3.2</v>
      </c>
      <c r="E24" s="1">
        <f t="shared" si="0"/>
        <v>-1.2000000000000002</v>
      </c>
      <c r="F24" s="1">
        <f t="shared" si="1"/>
        <v>1.2000000000000002</v>
      </c>
      <c r="G24" s="1">
        <f t="shared" si="2"/>
        <v>1.4400000000000004</v>
      </c>
      <c r="M24" t="s">
        <v>155</v>
      </c>
      <c r="N24">
        <v>1.097471842</v>
      </c>
      <c r="O24">
        <v>0.92592592600000001</v>
      </c>
      <c r="P24">
        <v>1.1890606E-2</v>
      </c>
      <c r="Q24">
        <v>0.74941176499999995</v>
      </c>
      <c r="R24">
        <v>0.8</v>
      </c>
      <c r="S24">
        <v>0.4</v>
      </c>
      <c r="T24">
        <v>0.57999999999999996</v>
      </c>
      <c r="U24">
        <v>0.46492063500000003</v>
      </c>
      <c r="V24">
        <v>0.441591026</v>
      </c>
      <c r="W24">
        <v>0.46111111100000002</v>
      </c>
      <c r="X24">
        <v>0.7</v>
      </c>
      <c r="Y24">
        <v>1.1890606E-2</v>
      </c>
      <c r="Z24">
        <v>0.28000000000000003</v>
      </c>
    </row>
    <row r="25" spans="1:26" x14ac:dyDescent="0.25">
      <c r="A25">
        <v>4</v>
      </c>
      <c r="B25">
        <v>34</v>
      </c>
      <c r="C25">
        <v>3.5</v>
      </c>
      <c r="D25">
        <v>2.5</v>
      </c>
      <c r="E25" s="1">
        <f t="shared" si="0"/>
        <v>1</v>
      </c>
      <c r="F25" s="1">
        <f t="shared" si="1"/>
        <v>1</v>
      </c>
      <c r="G25" s="1">
        <f t="shared" si="2"/>
        <v>1</v>
      </c>
    </row>
    <row r="26" spans="1:26" x14ac:dyDescent="0.25">
      <c r="A26">
        <v>5</v>
      </c>
      <c r="B26">
        <v>1</v>
      </c>
      <c r="C26">
        <v>4.5</v>
      </c>
      <c r="D26">
        <v>4.7</v>
      </c>
      <c r="E26" s="1">
        <f t="shared" si="0"/>
        <v>-0.20000000000000018</v>
      </c>
      <c r="F26" s="1">
        <f t="shared" si="1"/>
        <v>0.20000000000000018</v>
      </c>
      <c r="G26" s="1">
        <f t="shared" si="2"/>
        <v>4.000000000000007E-2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Y26" t="s">
        <v>115</v>
      </c>
    </row>
    <row r="27" spans="1:26" x14ac:dyDescent="0.25">
      <c r="A27">
        <v>5</v>
      </c>
      <c r="B27">
        <v>23</v>
      </c>
      <c r="C27">
        <v>4</v>
      </c>
      <c r="D27">
        <v>4.5</v>
      </c>
      <c r="E27" s="1">
        <f t="shared" si="0"/>
        <v>-0.5</v>
      </c>
      <c r="F27" s="1">
        <f t="shared" si="1"/>
        <v>0.5</v>
      </c>
      <c r="G27" s="1">
        <f t="shared" si="2"/>
        <v>0.25</v>
      </c>
    </row>
    <row r="28" spans="1:26" x14ac:dyDescent="0.25">
      <c r="A28">
        <v>5</v>
      </c>
      <c r="B28">
        <v>14</v>
      </c>
      <c r="C28">
        <v>5</v>
      </c>
      <c r="D28">
        <v>4.4000000000000004</v>
      </c>
      <c r="E28" s="1">
        <f t="shared" si="0"/>
        <v>0.59999999999999964</v>
      </c>
      <c r="F28" s="1">
        <f t="shared" si="1"/>
        <v>0.59999999999999964</v>
      </c>
      <c r="G28" s="1">
        <f t="shared" si="2"/>
        <v>0.3599999999999996</v>
      </c>
    </row>
    <row r="29" spans="1:26" x14ac:dyDescent="0.25">
      <c r="A29">
        <v>5</v>
      </c>
      <c r="B29">
        <v>10</v>
      </c>
      <c r="C29">
        <v>4</v>
      </c>
      <c r="D29">
        <v>4.3</v>
      </c>
      <c r="E29" s="1">
        <f t="shared" si="0"/>
        <v>-0.29999999999999982</v>
      </c>
      <c r="F29" s="1">
        <f t="shared" si="1"/>
        <v>0.29999999999999982</v>
      </c>
      <c r="G29" s="1">
        <f t="shared" si="2"/>
        <v>8.99999999999999E-2</v>
      </c>
    </row>
    <row r="30" spans="1:26" x14ac:dyDescent="0.25">
      <c r="A30">
        <v>5</v>
      </c>
      <c r="B30">
        <v>17</v>
      </c>
      <c r="C30">
        <v>2.5</v>
      </c>
      <c r="D30">
        <v>4.2</v>
      </c>
      <c r="E30" s="1">
        <f t="shared" si="0"/>
        <v>-1.7000000000000002</v>
      </c>
      <c r="F30" s="1">
        <f t="shared" si="1"/>
        <v>1.7000000000000002</v>
      </c>
      <c r="G30" s="1">
        <f t="shared" si="2"/>
        <v>2.8900000000000006</v>
      </c>
    </row>
    <row r="31" spans="1:26" x14ac:dyDescent="0.25">
      <c r="A31" t="s">
        <v>11</v>
      </c>
      <c r="F31" s="1"/>
      <c r="G31" s="1"/>
    </row>
    <row r="32" spans="1:26" x14ac:dyDescent="0.25">
      <c r="A32" t="s">
        <v>9</v>
      </c>
    </row>
    <row r="33" spans="1:36" x14ac:dyDescent="0.25">
      <c r="A33">
        <f>SQRT(SUM(G4:G30)/27)</f>
        <v>1.0974718422102885</v>
      </c>
    </row>
    <row r="34" spans="1:36" x14ac:dyDescent="0.25">
      <c r="A34" t="s">
        <v>10</v>
      </c>
    </row>
    <row r="35" spans="1:36" x14ac:dyDescent="0.25">
      <c r="A35" s="1">
        <f>AVERAGE(F4:F30)</f>
        <v>0.92592592592592571</v>
      </c>
    </row>
    <row r="38" spans="1:36" x14ac:dyDescent="0.25">
      <c r="A38" s="4" t="s">
        <v>13</v>
      </c>
    </row>
    <row r="39" spans="1:36" x14ac:dyDescent="0.25">
      <c r="A39" t="s">
        <v>14</v>
      </c>
      <c r="B39">
        <v>38</v>
      </c>
    </row>
    <row r="41" spans="1:36" x14ac:dyDescent="0.25">
      <c r="A41" t="s">
        <v>18</v>
      </c>
    </row>
    <row r="42" spans="1:36" x14ac:dyDescent="0.25">
      <c r="A42" t="s">
        <v>15</v>
      </c>
      <c r="B42">
        <v>1</v>
      </c>
      <c r="C42">
        <v>2</v>
      </c>
      <c r="D42">
        <v>4</v>
      </c>
      <c r="E42">
        <v>5</v>
      </c>
      <c r="F42">
        <v>6</v>
      </c>
      <c r="G42">
        <v>7</v>
      </c>
      <c r="H42">
        <v>8</v>
      </c>
      <c r="I42">
        <v>9</v>
      </c>
      <c r="J42">
        <v>10</v>
      </c>
      <c r="K42">
        <v>12</v>
      </c>
      <c r="L42">
        <v>13</v>
      </c>
      <c r="M42">
        <v>14</v>
      </c>
      <c r="N42">
        <v>15</v>
      </c>
      <c r="O42">
        <v>16</v>
      </c>
      <c r="P42">
        <v>17</v>
      </c>
      <c r="Q42">
        <v>18</v>
      </c>
      <c r="R42">
        <v>19</v>
      </c>
      <c r="S42">
        <v>20</v>
      </c>
      <c r="T42">
        <v>21</v>
      </c>
      <c r="U42">
        <v>22</v>
      </c>
      <c r="V42">
        <v>23</v>
      </c>
      <c r="W42">
        <v>24</v>
      </c>
      <c r="X42">
        <v>25</v>
      </c>
      <c r="Y42">
        <v>28</v>
      </c>
      <c r="Z42">
        <v>30</v>
      </c>
      <c r="AA42">
        <v>31</v>
      </c>
      <c r="AB42">
        <v>32</v>
      </c>
      <c r="AC42">
        <v>33</v>
      </c>
      <c r="AD42">
        <v>34</v>
      </c>
      <c r="AE42">
        <v>35</v>
      </c>
      <c r="AF42">
        <v>36</v>
      </c>
      <c r="AG42">
        <v>37</v>
      </c>
      <c r="AH42">
        <v>40</v>
      </c>
      <c r="AI42">
        <v>45</v>
      </c>
    </row>
    <row r="43" spans="1:36" x14ac:dyDescent="0.25">
      <c r="A43">
        <v>1</v>
      </c>
      <c r="B43">
        <v>1</v>
      </c>
      <c r="F43">
        <v>1</v>
      </c>
      <c r="J43">
        <v>1</v>
      </c>
      <c r="X43">
        <v>1</v>
      </c>
      <c r="Z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6" x14ac:dyDescent="0.25">
      <c r="A44">
        <v>2</v>
      </c>
      <c r="B44">
        <v>1</v>
      </c>
      <c r="G44">
        <v>1</v>
      </c>
      <c r="L44">
        <v>1</v>
      </c>
      <c r="O44">
        <v>1</v>
      </c>
      <c r="R44">
        <v>1</v>
      </c>
      <c r="X44">
        <v>1</v>
      </c>
      <c r="Z44">
        <v>1</v>
      </c>
      <c r="AA44">
        <v>1</v>
      </c>
      <c r="AH44">
        <v>1</v>
      </c>
      <c r="AI44">
        <v>1</v>
      </c>
    </row>
    <row r="45" spans="1:36" x14ac:dyDescent="0.25">
      <c r="A45">
        <v>3</v>
      </c>
      <c r="C45">
        <v>1</v>
      </c>
      <c r="D45">
        <v>1</v>
      </c>
      <c r="F45">
        <v>1</v>
      </c>
      <c r="H45">
        <v>1</v>
      </c>
      <c r="N45">
        <v>1</v>
      </c>
      <c r="Q45">
        <v>1</v>
      </c>
      <c r="S45">
        <v>1</v>
      </c>
      <c r="U45">
        <v>1</v>
      </c>
      <c r="AA45">
        <v>1</v>
      </c>
      <c r="AB45">
        <v>1</v>
      </c>
    </row>
    <row r="46" spans="1:36" x14ac:dyDescent="0.25">
      <c r="A46">
        <v>4</v>
      </c>
      <c r="E46">
        <v>1</v>
      </c>
      <c r="I46">
        <v>1</v>
      </c>
      <c r="K46">
        <v>1</v>
      </c>
      <c r="P46">
        <v>1</v>
      </c>
      <c r="T46">
        <v>1</v>
      </c>
      <c r="W46">
        <v>1</v>
      </c>
      <c r="Y46">
        <v>1</v>
      </c>
      <c r="AC46">
        <v>1</v>
      </c>
      <c r="AD46">
        <v>1</v>
      </c>
      <c r="AH46">
        <v>1</v>
      </c>
    </row>
    <row r="47" spans="1:36" x14ac:dyDescent="0.25">
      <c r="A47">
        <v>5</v>
      </c>
      <c r="B47">
        <v>1</v>
      </c>
      <c r="J47">
        <v>1</v>
      </c>
      <c r="M47">
        <v>1</v>
      </c>
      <c r="P47">
        <v>1</v>
      </c>
      <c r="V47">
        <v>1</v>
      </c>
      <c r="X47">
        <v>1</v>
      </c>
      <c r="Z47">
        <v>1</v>
      </c>
      <c r="AA47">
        <v>1</v>
      </c>
      <c r="AH47">
        <v>1</v>
      </c>
      <c r="AI47">
        <v>1</v>
      </c>
    </row>
    <row r="48" spans="1:36" x14ac:dyDescent="0.25">
      <c r="A48" t="s">
        <v>16</v>
      </c>
      <c r="B48">
        <f>SUM(B43:B47)</f>
        <v>3</v>
      </c>
      <c r="C48">
        <f t="shared" ref="C48:AI48" si="3">SUM(C43:C47)</f>
        <v>1</v>
      </c>
      <c r="D48">
        <f t="shared" si="3"/>
        <v>1</v>
      </c>
      <c r="E48">
        <f t="shared" si="3"/>
        <v>1</v>
      </c>
      <c r="F48">
        <f t="shared" si="3"/>
        <v>2</v>
      </c>
      <c r="G48">
        <f t="shared" si="3"/>
        <v>1</v>
      </c>
      <c r="H48">
        <f t="shared" si="3"/>
        <v>1</v>
      </c>
      <c r="I48">
        <f t="shared" si="3"/>
        <v>1</v>
      </c>
      <c r="J48">
        <f t="shared" si="3"/>
        <v>2</v>
      </c>
      <c r="K48">
        <f t="shared" si="3"/>
        <v>1</v>
      </c>
      <c r="L48">
        <f t="shared" si="3"/>
        <v>1</v>
      </c>
      <c r="M48">
        <f t="shared" si="3"/>
        <v>1</v>
      </c>
      <c r="N48">
        <f t="shared" si="3"/>
        <v>1</v>
      </c>
      <c r="O48">
        <f t="shared" si="3"/>
        <v>1</v>
      </c>
      <c r="P48">
        <f t="shared" si="3"/>
        <v>2</v>
      </c>
      <c r="Q48">
        <f t="shared" si="3"/>
        <v>1</v>
      </c>
      <c r="R48">
        <f t="shared" si="3"/>
        <v>1</v>
      </c>
      <c r="S48">
        <f t="shared" si="3"/>
        <v>1</v>
      </c>
      <c r="T48">
        <f t="shared" si="3"/>
        <v>1</v>
      </c>
      <c r="U48">
        <f t="shared" si="3"/>
        <v>1</v>
      </c>
      <c r="V48">
        <f t="shared" si="3"/>
        <v>1</v>
      </c>
      <c r="W48">
        <f t="shared" si="3"/>
        <v>1</v>
      </c>
      <c r="X48">
        <f t="shared" si="3"/>
        <v>3</v>
      </c>
      <c r="Y48">
        <f t="shared" si="3"/>
        <v>1</v>
      </c>
      <c r="Z48">
        <f t="shared" si="3"/>
        <v>3</v>
      </c>
      <c r="AA48">
        <f t="shared" si="3"/>
        <v>3</v>
      </c>
      <c r="AB48">
        <f t="shared" si="3"/>
        <v>1</v>
      </c>
      <c r="AC48">
        <f t="shared" si="3"/>
        <v>1</v>
      </c>
      <c r="AD48">
        <f t="shared" si="3"/>
        <v>1</v>
      </c>
      <c r="AE48">
        <f t="shared" si="3"/>
        <v>1</v>
      </c>
      <c r="AF48">
        <f t="shared" si="3"/>
        <v>1</v>
      </c>
      <c r="AG48">
        <f t="shared" si="3"/>
        <v>1</v>
      </c>
      <c r="AH48">
        <f t="shared" si="3"/>
        <v>4</v>
      </c>
      <c r="AI48">
        <f t="shared" si="3"/>
        <v>3</v>
      </c>
      <c r="AJ48">
        <f>SUM(B48:AI48)</f>
        <v>50</v>
      </c>
    </row>
    <row r="49" spans="1:21" x14ac:dyDescent="0.25">
      <c r="A49" t="s">
        <v>17</v>
      </c>
      <c r="B49">
        <v>34</v>
      </c>
    </row>
    <row r="50" spans="1:21" x14ac:dyDescent="0.25">
      <c r="A50" t="s">
        <v>25</v>
      </c>
      <c r="B50">
        <f>B49/B39</f>
        <v>0.89473684210526316</v>
      </c>
    </row>
    <row r="52" spans="1:21" x14ac:dyDescent="0.25">
      <c r="A52" t="s">
        <v>19</v>
      </c>
    </row>
    <row r="53" spans="1:21" x14ac:dyDescent="0.25">
      <c r="A53" t="s">
        <v>20</v>
      </c>
      <c r="B53">
        <v>1</v>
      </c>
      <c r="C53">
        <v>2</v>
      </c>
      <c r="D53">
        <v>3</v>
      </c>
      <c r="E53">
        <v>4</v>
      </c>
      <c r="F53">
        <v>5</v>
      </c>
    </row>
    <row r="54" spans="1:21" x14ac:dyDescent="0.25">
      <c r="A54">
        <v>1</v>
      </c>
      <c r="B54">
        <v>1</v>
      </c>
      <c r="C54">
        <v>6</v>
      </c>
      <c r="D54">
        <v>10</v>
      </c>
      <c r="E54">
        <v>25</v>
      </c>
      <c r="F54">
        <v>40</v>
      </c>
    </row>
    <row r="55" spans="1:21" x14ac:dyDescent="0.25">
      <c r="A55">
        <v>2</v>
      </c>
      <c r="B55">
        <v>1</v>
      </c>
      <c r="C55">
        <v>7</v>
      </c>
      <c r="D55">
        <v>13</v>
      </c>
      <c r="E55">
        <v>19</v>
      </c>
      <c r="F55">
        <v>16</v>
      </c>
    </row>
    <row r="56" spans="1:21" x14ac:dyDescent="0.25">
      <c r="A56">
        <v>3</v>
      </c>
      <c r="B56">
        <v>32</v>
      </c>
      <c r="C56">
        <v>2</v>
      </c>
      <c r="D56">
        <v>6</v>
      </c>
      <c r="E56">
        <v>4</v>
      </c>
      <c r="F56">
        <v>20</v>
      </c>
    </row>
    <row r="57" spans="1:21" x14ac:dyDescent="0.25">
      <c r="A57">
        <v>4</v>
      </c>
      <c r="B57">
        <v>5</v>
      </c>
      <c r="C57">
        <v>24</v>
      </c>
      <c r="D57">
        <v>12</v>
      </c>
      <c r="E57">
        <v>17</v>
      </c>
      <c r="F57">
        <v>40</v>
      </c>
    </row>
    <row r="58" spans="1:21" x14ac:dyDescent="0.25">
      <c r="A58">
        <v>5</v>
      </c>
      <c r="B58">
        <v>1</v>
      </c>
      <c r="C58">
        <v>10</v>
      </c>
      <c r="D58">
        <v>14</v>
      </c>
      <c r="E58">
        <v>17</v>
      </c>
      <c r="F58">
        <v>23</v>
      </c>
    </row>
    <row r="59" spans="1:21" x14ac:dyDescent="0.25">
      <c r="A59" t="s">
        <v>21</v>
      </c>
    </row>
    <row r="60" spans="1:21" x14ac:dyDescent="0.25">
      <c r="A60" t="s">
        <v>22</v>
      </c>
      <c r="B60">
        <v>1</v>
      </c>
      <c r="C60">
        <v>2</v>
      </c>
      <c r="D60">
        <v>4</v>
      </c>
      <c r="E60">
        <v>5</v>
      </c>
      <c r="F60">
        <v>6</v>
      </c>
      <c r="G60">
        <v>7</v>
      </c>
      <c r="H60">
        <v>8</v>
      </c>
      <c r="I60">
        <v>10</v>
      </c>
      <c r="J60">
        <v>12</v>
      </c>
      <c r="K60">
        <v>13</v>
      </c>
      <c r="L60">
        <v>14</v>
      </c>
      <c r="M60">
        <v>16</v>
      </c>
      <c r="N60">
        <v>17</v>
      </c>
      <c r="O60">
        <v>19</v>
      </c>
      <c r="P60">
        <v>20</v>
      </c>
      <c r="Q60">
        <v>23</v>
      </c>
      <c r="R60">
        <v>24</v>
      </c>
      <c r="S60">
        <v>25</v>
      </c>
      <c r="T60">
        <v>32</v>
      </c>
      <c r="U60">
        <v>40</v>
      </c>
    </row>
    <row r="61" spans="1:21" x14ac:dyDescent="0.25">
      <c r="A61" t="s">
        <v>23</v>
      </c>
      <c r="B61">
        <v>20</v>
      </c>
    </row>
    <row r="62" spans="1:21" x14ac:dyDescent="0.25">
      <c r="A62" t="s">
        <v>24</v>
      </c>
      <c r="B62" s="5">
        <f>B61/B39</f>
        <v>0.52631578947368418</v>
      </c>
    </row>
    <row r="66" spans="1:36" x14ac:dyDescent="0.25">
      <c r="A66" t="s">
        <v>18</v>
      </c>
    </row>
    <row r="67" spans="1:36" x14ac:dyDescent="0.25">
      <c r="A67" t="s">
        <v>15</v>
      </c>
      <c r="B67">
        <v>37</v>
      </c>
      <c r="C67">
        <v>2</v>
      </c>
      <c r="D67">
        <v>4</v>
      </c>
      <c r="E67">
        <v>5</v>
      </c>
      <c r="F67">
        <v>35</v>
      </c>
      <c r="G67">
        <v>7</v>
      </c>
      <c r="H67">
        <v>8</v>
      </c>
      <c r="I67">
        <v>9</v>
      </c>
      <c r="J67">
        <v>36</v>
      </c>
      <c r="K67">
        <v>12</v>
      </c>
      <c r="L67">
        <v>13</v>
      </c>
      <c r="M67">
        <v>14</v>
      </c>
      <c r="N67">
        <v>15</v>
      </c>
      <c r="O67">
        <v>16</v>
      </c>
      <c r="P67">
        <v>34</v>
      </c>
      <c r="Q67">
        <v>18</v>
      </c>
      <c r="R67">
        <v>19</v>
      </c>
      <c r="S67">
        <v>20</v>
      </c>
      <c r="T67">
        <v>21</v>
      </c>
      <c r="U67">
        <v>22</v>
      </c>
      <c r="V67">
        <v>23</v>
      </c>
      <c r="W67">
        <v>24</v>
      </c>
      <c r="X67">
        <v>33</v>
      </c>
      <c r="Y67">
        <v>28</v>
      </c>
      <c r="Z67">
        <v>32</v>
      </c>
      <c r="AA67">
        <v>10</v>
      </c>
      <c r="AB67">
        <v>17</v>
      </c>
      <c r="AC67">
        <v>6</v>
      </c>
      <c r="AD67">
        <v>25</v>
      </c>
      <c r="AE67">
        <v>30</v>
      </c>
      <c r="AF67">
        <v>31</v>
      </c>
      <c r="AG67">
        <v>1</v>
      </c>
      <c r="AH67">
        <v>45</v>
      </c>
      <c r="AI67">
        <v>40</v>
      </c>
    </row>
    <row r="68" spans="1:36" x14ac:dyDescent="0.25">
      <c r="A68">
        <v>1</v>
      </c>
      <c r="B68">
        <v>1</v>
      </c>
      <c r="F68">
        <v>1</v>
      </c>
      <c r="J68">
        <v>1</v>
      </c>
      <c r="AA68">
        <v>1</v>
      </c>
      <c r="AC68">
        <v>1</v>
      </c>
      <c r="AD68">
        <v>1</v>
      </c>
      <c r="AE68">
        <v>1</v>
      </c>
      <c r="AG68">
        <v>1</v>
      </c>
      <c r="AH68">
        <v>1</v>
      </c>
      <c r="AI68">
        <v>1</v>
      </c>
    </row>
    <row r="69" spans="1:36" x14ac:dyDescent="0.25">
      <c r="A69">
        <v>2</v>
      </c>
      <c r="G69">
        <v>1</v>
      </c>
      <c r="L69">
        <v>1</v>
      </c>
      <c r="O69">
        <v>1</v>
      </c>
      <c r="R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6" x14ac:dyDescent="0.25">
      <c r="A70">
        <v>3</v>
      </c>
      <c r="C70">
        <v>1</v>
      </c>
      <c r="D70">
        <v>1</v>
      </c>
      <c r="H70">
        <v>1</v>
      </c>
      <c r="N70">
        <v>1</v>
      </c>
      <c r="Q70">
        <v>1</v>
      </c>
      <c r="S70">
        <v>1</v>
      </c>
      <c r="U70">
        <v>1</v>
      </c>
      <c r="Z70">
        <v>1</v>
      </c>
      <c r="AC70">
        <v>1</v>
      </c>
      <c r="AF70">
        <v>1</v>
      </c>
    </row>
    <row r="71" spans="1:36" x14ac:dyDescent="0.25">
      <c r="A71">
        <v>4</v>
      </c>
      <c r="E71">
        <v>1</v>
      </c>
      <c r="I71">
        <v>1</v>
      </c>
      <c r="K71">
        <v>1</v>
      </c>
      <c r="P71">
        <v>1</v>
      </c>
      <c r="T71">
        <v>1</v>
      </c>
      <c r="W71">
        <v>1</v>
      </c>
      <c r="X71">
        <v>1</v>
      </c>
      <c r="Y71">
        <v>1</v>
      </c>
      <c r="AB71">
        <v>1</v>
      </c>
      <c r="AI71">
        <v>1</v>
      </c>
    </row>
    <row r="72" spans="1:36" x14ac:dyDescent="0.25">
      <c r="A72">
        <v>5</v>
      </c>
      <c r="M72">
        <v>1</v>
      </c>
      <c r="V72">
        <v>1</v>
      </c>
      <c r="AA72">
        <v>1</v>
      </c>
      <c r="AB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6" x14ac:dyDescent="0.25">
      <c r="A73" t="s">
        <v>16</v>
      </c>
      <c r="B73">
        <f>SUM(B68:B72)</f>
        <v>1</v>
      </c>
      <c r="C73">
        <f t="shared" ref="C73:Y73" si="4">SUM(C68:C72)</f>
        <v>1</v>
      </c>
      <c r="D73">
        <f t="shared" si="4"/>
        <v>1</v>
      </c>
      <c r="E73">
        <f t="shared" si="4"/>
        <v>1</v>
      </c>
      <c r="F73">
        <f>SUM(F68:F72)</f>
        <v>1</v>
      </c>
      <c r="G73">
        <f t="shared" si="4"/>
        <v>1</v>
      </c>
      <c r="H73">
        <f t="shared" si="4"/>
        <v>1</v>
      </c>
      <c r="I73">
        <f t="shared" si="4"/>
        <v>1</v>
      </c>
      <c r="J73">
        <f>SUM(J68:J72)</f>
        <v>1</v>
      </c>
      <c r="K73">
        <f t="shared" si="4"/>
        <v>1</v>
      </c>
      <c r="L73">
        <f t="shared" si="4"/>
        <v>1</v>
      </c>
      <c r="M73">
        <f t="shared" si="4"/>
        <v>1</v>
      </c>
      <c r="N73">
        <f t="shared" si="4"/>
        <v>1</v>
      </c>
      <c r="O73">
        <f t="shared" si="4"/>
        <v>1</v>
      </c>
      <c r="P73">
        <f>SUM(P68:P72)</f>
        <v>1</v>
      </c>
      <c r="Q73">
        <f t="shared" si="4"/>
        <v>1</v>
      </c>
      <c r="R73">
        <f t="shared" si="4"/>
        <v>1</v>
      </c>
      <c r="S73">
        <f t="shared" si="4"/>
        <v>1</v>
      </c>
      <c r="T73">
        <f t="shared" si="4"/>
        <v>1</v>
      </c>
      <c r="U73">
        <f t="shared" si="4"/>
        <v>1</v>
      </c>
      <c r="V73">
        <f t="shared" si="4"/>
        <v>1</v>
      </c>
      <c r="W73">
        <f t="shared" si="4"/>
        <v>1</v>
      </c>
      <c r="X73">
        <f>SUM(X68:X72)</f>
        <v>1</v>
      </c>
      <c r="Y73">
        <f t="shared" si="4"/>
        <v>1</v>
      </c>
      <c r="Z73">
        <f t="shared" ref="Z73:AI73" si="5">SUM(Z68:Z72)</f>
        <v>1</v>
      </c>
      <c r="AA73">
        <f t="shared" si="5"/>
        <v>2</v>
      </c>
      <c r="AB73">
        <f t="shared" si="5"/>
        <v>2</v>
      </c>
      <c r="AC73">
        <f t="shared" si="5"/>
        <v>2</v>
      </c>
      <c r="AD73">
        <f t="shared" si="5"/>
        <v>3</v>
      </c>
      <c r="AE73">
        <f t="shared" si="5"/>
        <v>3</v>
      </c>
      <c r="AF73">
        <f t="shared" si="5"/>
        <v>3</v>
      </c>
      <c r="AG73">
        <f t="shared" si="5"/>
        <v>3</v>
      </c>
      <c r="AH73">
        <f t="shared" si="5"/>
        <v>3</v>
      </c>
      <c r="AI73">
        <f t="shared" si="5"/>
        <v>4</v>
      </c>
      <c r="AJ73">
        <f>SUM(B73:AI73)</f>
        <v>50</v>
      </c>
    </row>
    <row r="74" spans="1:36" x14ac:dyDescent="0.25">
      <c r="A74" t="s">
        <v>17</v>
      </c>
      <c r="B74">
        <v>34</v>
      </c>
    </row>
    <row r="76" spans="1:36" x14ac:dyDescent="0.25">
      <c r="A76" t="s">
        <v>145</v>
      </c>
      <c r="B76" s="5" cm="1">
        <f t="array" ref="B76">1 - SUMPRODUCT((2*(COLUMN(B73:AI73)-COLUMN(B73)+1) - COUNT(B73:AI73) - 1), B73:AI73) / (COUNT(B73:AI73) * SUM(B73:AI73))</f>
        <v>0.74941176470588233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E8C8-4DE8-490F-AF79-804E82501B21}">
  <dimension ref="A1:AJ51"/>
  <sheetViews>
    <sheetView workbookViewId="0">
      <selection activeCell="G54" sqref="G54"/>
    </sheetView>
  </sheetViews>
  <sheetFormatPr defaultRowHeight="15" x14ac:dyDescent="0.25"/>
  <cols>
    <col min="8" max="8" width="11.28515625" bestFit="1" customWidth="1"/>
    <col min="9" max="9" width="29.7109375" bestFit="1" customWidth="1"/>
    <col min="15" max="15" width="11.140625" bestFit="1" customWidth="1"/>
    <col min="16" max="16" width="9.140625" style="6"/>
    <col min="18" max="18" width="9.140625" style="6"/>
  </cols>
  <sheetData>
    <row r="1" spans="1:36" x14ac:dyDescent="0.25">
      <c r="A1" t="s">
        <v>26</v>
      </c>
      <c r="D1" t="s">
        <v>77</v>
      </c>
      <c r="H1" t="s">
        <v>12</v>
      </c>
      <c r="I1" t="s">
        <v>26</v>
      </c>
      <c r="L1" t="s">
        <v>77</v>
      </c>
      <c r="N1" t="s">
        <v>131</v>
      </c>
      <c r="O1" t="s">
        <v>132</v>
      </c>
      <c r="P1"/>
      <c r="Q1" t="s">
        <v>128</v>
      </c>
      <c r="R1" s="6" t="s">
        <v>118</v>
      </c>
      <c r="T1" s="6" t="s">
        <v>124</v>
      </c>
      <c r="W1" t="s">
        <v>136</v>
      </c>
      <c r="Y1" t="s">
        <v>138</v>
      </c>
      <c r="AA1" t="s">
        <v>139</v>
      </c>
      <c r="AC1" t="s">
        <v>160</v>
      </c>
      <c r="AD1" t="s">
        <v>161</v>
      </c>
      <c r="AE1" t="s">
        <v>157</v>
      </c>
      <c r="AF1" t="s">
        <v>168</v>
      </c>
      <c r="AG1" t="s">
        <v>159</v>
      </c>
      <c r="AH1" t="s">
        <v>158</v>
      </c>
      <c r="AI1" t="s">
        <v>167</v>
      </c>
      <c r="AJ1" t="s">
        <v>140</v>
      </c>
    </row>
    <row r="2" spans="1:36" x14ac:dyDescent="0.25">
      <c r="A2" t="s">
        <v>27</v>
      </c>
      <c r="D2" t="s">
        <v>78</v>
      </c>
      <c r="H2" t="s">
        <v>114</v>
      </c>
      <c r="I2" t="s">
        <v>27</v>
      </c>
      <c r="L2" t="s">
        <v>79</v>
      </c>
      <c r="P2"/>
      <c r="Q2">
        <v>1</v>
      </c>
      <c r="R2" s="6" t="s">
        <v>119</v>
      </c>
      <c r="S2">
        <f>(1)/5</f>
        <v>0.2</v>
      </c>
      <c r="T2" s="6" t="s">
        <v>125</v>
      </c>
      <c r="U2">
        <v>0.5</v>
      </c>
      <c r="W2">
        <f>2*(S2*U2)/(S2+U2)</f>
        <v>0.28571428571428575</v>
      </c>
      <c r="Y2">
        <f>(1/5)*(((1/2)/2)+((1)+(2/3)+(3/5)+0+0)/3+((1)+(2/4)+0+0+0)/5+((1)+(1)+(1)+(1)+0)/4)</f>
        <v>0.46111111111111108</v>
      </c>
      <c r="AA2">
        <f>(1/5)*(1/2+(1/1)+(1/1)+0+(1/1))</f>
        <v>0.70000000000000007</v>
      </c>
      <c r="AC2" t="s">
        <v>27</v>
      </c>
      <c r="AE2">
        <v>0</v>
      </c>
      <c r="AF2">
        <v>0</v>
      </c>
      <c r="AG2" t="s">
        <v>162</v>
      </c>
      <c r="AH2">
        <f>1/LOG(2,2)</f>
        <v>1</v>
      </c>
      <c r="AI2">
        <v>1</v>
      </c>
      <c r="AJ2">
        <f>AF6/AI6</f>
        <v>0.38685289987921001</v>
      </c>
    </row>
    <row r="3" spans="1:36" x14ac:dyDescent="0.25">
      <c r="A3" t="s">
        <v>28</v>
      </c>
      <c r="D3" t="s">
        <v>79</v>
      </c>
      <c r="I3" t="s">
        <v>28</v>
      </c>
      <c r="L3" t="s">
        <v>81</v>
      </c>
      <c r="N3" t="s">
        <v>115</v>
      </c>
      <c r="O3">
        <v>6</v>
      </c>
      <c r="T3" s="6"/>
      <c r="AC3" t="s">
        <v>28</v>
      </c>
      <c r="AD3" t="s">
        <v>115</v>
      </c>
      <c r="AE3">
        <f>1/LOG(3,2)</f>
        <v>0.63092975357145742</v>
      </c>
      <c r="AF3">
        <v>0.63092999999999999</v>
      </c>
      <c r="AG3" t="s">
        <v>163</v>
      </c>
      <c r="AH3">
        <f>1/LOG(3,2)</f>
        <v>0.63092975357145742</v>
      </c>
      <c r="AI3">
        <v>1.63093</v>
      </c>
    </row>
    <row r="4" spans="1:36" x14ac:dyDescent="0.25">
      <c r="A4" t="s">
        <v>29</v>
      </c>
      <c r="D4" t="s">
        <v>80</v>
      </c>
      <c r="I4" t="s">
        <v>29</v>
      </c>
      <c r="P4"/>
      <c r="T4" s="6"/>
      <c r="AC4" t="s">
        <v>29</v>
      </c>
      <c r="AE4">
        <f t="shared" ref="AE4:AE6" si="0">1/LOG(3,2)</f>
        <v>0.63092975357145742</v>
      </c>
      <c r="AF4">
        <v>0.63092999999999999</v>
      </c>
      <c r="AG4" t="s">
        <v>164</v>
      </c>
      <c r="AH4">
        <v>0</v>
      </c>
      <c r="AI4">
        <v>1.63093</v>
      </c>
    </row>
    <row r="5" spans="1:36" x14ac:dyDescent="0.25">
      <c r="A5" t="s">
        <v>30</v>
      </c>
      <c r="D5" t="s">
        <v>81</v>
      </c>
      <c r="I5" t="s">
        <v>30</v>
      </c>
      <c r="P5"/>
      <c r="T5" s="6"/>
      <c r="AC5" t="s">
        <v>30</v>
      </c>
      <c r="AE5">
        <f t="shared" si="0"/>
        <v>0.63092975357145742</v>
      </c>
      <c r="AF5">
        <v>0.63092999999999999</v>
      </c>
      <c r="AG5" t="s">
        <v>165</v>
      </c>
      <c r="AH5">
        <v>0</v>
      </c>
      <c r="AI5">
        <v>1.63093</v>
      </c>
    </row>
    <row r="6" spans="1:36" x14ac:dyDescent="0.25">
      <c r="A6" t="s">
        <v>31</v>
      </c>
      <c r="D6" t="s">
        <v>82</v>
      </c>
      <c r="I6" t="s">
        <v>31</v>
      </c>
      <c r="P6"/>
      <c r="T6" s="6"/>
      <c r="AC6" t="s">
        <v>31</v>
      </c>
      <c r="AE6">
        <f t="shared" si="0"/>
        <v>0.63092975357145742</v>
      </c>
      <c r="AF6">
        <v>0.63092999999999999</v>
      </c>
      <c r="AG6" t="s">
        <v>166</v>
      </c>
      <c r="AH6">
        <v>0</v>
      </c>
      <c r="AI6">
        <v>1.63093</v>
      </c>
    </row>
    <row r="7" spans="1:36" x14ac:dyDescent="0.25">
      <c r="A7" t="s">
        <v>32</v>
      </c>
      <c r="D7" t="s">
        <v>83</v>
      </c>
      <c r="P7"/>
      <c r="T7" s="6"/>
    </row>
    <row r="8" spans="1:36" x14ac:dyDescent="0.25">
      <c r="A8" t="s">
        <v>33</v>
      </c>
      <c r="D8" t="s">
        <v>84</v>
      </c>
      <c r="I8" t="s">
        <v>37</v>
      </c>
      <c r="L8" t="s">
        <v>83</v>
      </c>
      <c r="O8" t="s">
        <v>133</v>
      </c>
      <c r="P8" t="s">
        <v>115</v>
      </c>
      <c r="Q8">
        <v>1</v>
      </c>
      <c r="R8" s="6" t="s">
        <v>122</v>
      </c>
      <c r="S8">
        <v>0.6</v>
      </c>
      <c r="T8" s="6" t="s">
        <v>130</v>
      </c>
      <c r="U8">
        <v>1</v>
      </c>
      <c r="W8">
        <f>2*(S8*U8)/(S8+U8)</f>
        <v>0.74999999999999989</v>
      </c>
      <c r="AC8" t="s">
        <v>37</v>
      </c>
      <c r="AD8" t="s">
        <v>115</v>
      </c>
      <c r="AE8">
        <f>1/LOG(2,2)</f>
        <v>1</v>
      </c>
      <c r="AF8">
        <v>1</v>
      </c>
      <c r="AG8" t="s">
        <v>169</v>
      </c>
      <c r="AH8">
        <f>1/LOG(2,2)</f>
        <v>1</v>
      </c>
      <c r="AI8">
        <f>AH8</f>
        <v>1</v>
      </c>
      <c r="AJ8">
        <f>AF12/AI12</f>
        <v>0.88545988157148747</v>
      </c>
    </row>
    <row r="9" spans="1:36" x14ac:dyDescent="0.25">
      <c r="A9" t="s">
        <v>34</v>
      </c>
      <c r="D9" t="s">
        <v>85</v>
      </c>
      <c r="I9" t="s">
        <v>39</v>
      </c>
      <c r="P9" t="s">
        <v>115</v>
      </c>
      <c r="T9" s="6"/>
      <c r="AC9" t="s">
        <v>39</v>
      </c>
      <c r="AE9">
        <f t="shared" ref="AE9:AE11" si="1">1/LOG(2,2)</f>
        <v>1</v>
      </c>
      <c r="AF9">
        <v>1</v>
      </c>
      <c r="AG9" t="s">
        <v>170</v>
      </c>
      <c r="AH9">
        <f>1/LOG(3,2)</f>
        <v>0.63092975357145742</v>
      </c>
      <c r="AI9">
        <f t="shared" ref="AI9:AI18" si="2">AI8+AH9</f>
        <v>1.6309297535714573</v>
      </c>
    </row>
    <row r="10" spans="1:36" x14ac:dyDescent="0.25">
      <c r="A10" t="s">
        <v>35</v>
      </c>
      <c r="D10" t="s">
        <v>86</v>
      </c>
      <c r="I10" t="s">
        <v>38</v>
      </c>
      <c r="L10" t="s">
        <v>85</v>
      </c>
      <c r="P10" t="s">
        <v>115</v>
      </c>
      <c r="T10" s="6"/>
      <c r="AC10" t="s">
        <v>38</v>
      </c>
      <c r="AD10" t="s">
        <v>115</v>
      </c>
      <c r="AE10">
        <f>1/LOG(4,2)</f>
        <v>0.5</v>
      </c>
      <c r="AF10">
        <v>1.5</v>
      </c>
      <c r="AG10" t="s">
        <v>171</v>
      </c>
      <c r="AH10">
        <f>1/LOG(4,2)</f>
        <v>0.5</v>
      </c>
      <c r="AI10">
        <f t="shared" si="2"/>
        <v>2.1309297535714573</v>
      </c>
    </row>
    <row r="11" spans="1:36" x14ac:dyDescent="0.25">
      <c r="A11" t="s">
        <v>36</v>
      </c>
      <c r="D11" t="s">
        <v>87</v>
      </c>
      <c r="I11" t="s">
        <v>41</v>
      </c>
      <c r="P11"/>
      <c r="T11" s="6"/>
      <c r="AC11" t="s">
        <v>41</v>
      </c>
      <c r="AE11">
        <f t="shared" si="1"/>
        <v>1</v>
      </c>
      <c r="AF11">
        <v>1.5</v>
      </c>
      <c r="AG11" t="s">
        <v>172</v>
      </c>
      <c r="AH11">
        <v>0</v>
      </c>
      <c r="AI11">
        <f t="shared" si="2"/>
        <v>2.1309297535714573</v>
      </c>
    </row>
    <row r="12" spans="1:36" x14ac:dyDescent="0.25">
      <c r="A12" t="s">
        <v>37</v>
      </c>
      <c r="D12" t="s">
        <v>88</v>
      </c>
      <c r="I12" t="s">
        <v>40</v>
      </c>
      <c r="L12" t="s">
        <v>88</v>
      </c>
      <c r="P12"/>
      <c r="T12" s="6"/>
      <c r="AC12" t="s">
        <v>40</v>
      </c>
      <c r="AD12" t="s">
        <v>115</v>
      </c>
      <c r="AE12">
        <f>1/LOG(6,2)</f>
        <v>0.38685280723454163</v>
      </c>
      <c r="AF12">
        <f>AF11+AE12</f>
        <v>1.8868528072345416</v>
      </c>
      <c r="AG12" t="s">
        <v>173</v>
      </c>
      <c r="AH12">
        <v>0</v>
      </c>
      <c r="AI12">
        <f t="shared" si="2"/>
        <v>2.1309297535714573</v>
      </c>
    </row>
    <row r="13" spans="1:36" x14ac:dyDescent="0.25">
      <c r="A13" t="s">
        <v>38</v>
      </c>
      <c r="D13" t="s">
        <v>89</v>
      </c>
      <c r="P13"/>
      <c r="T13" s="6"/>
    </row>
    <row r="14" spans="1:36" x14ac:dyDescent="0.25">
      <c r="A14" t="s">
        <v>39</v>
      </c>
      <c r="D14" t="s">
        <v>90</v>
      </c>
      <c r="I14" t="s">
        <v>56</v>
      </c>
      <c r="L14" t="s">
        <v>99</v>
      </c>
      <c r="O14">
        <v>4.32</v>
      </c>
      <c r="P14" t="s">
        <v>115</v>
      </c>
      <c r="Q14">
        <v>1</v>
      </c>
      <c r="R14" s="6" t="s">
        <v>120</v>
      </c>
      <c r="S14">
        <v>0.4</v>
      </c>
      <c r="T14" s="6" t="s">
        <v>120</v>
      </c>
      <c r="U14">
        <v>0.4</v>
      </c>
      <c r="W14">
        <f>2*(S14*U14)/(S14+U14)</f>
        <v>0.40000000000000008</v>
      </c>
      <c r="AC14" t="s">
        <v>56</v>
      </c>
      <c r="AE14">
        <f>1/LOG(2,2)</f>
        <v>1</v>
      </c>
      <c r="AF14">
        <f>AE14</f>
        <v>1</v>
      </c>
      <c r="AG14" t="s">
        <v>174</v>
      </c>
      <c r="AH14">
        <f>1/LOG(D41,2)</f>
        <v>1</v>
      </c>
      <c r="AI14">
        <f t="shared" si="2"/>
        <v>1</v>
      </c>
      <c r="AJ14">
        <f>AF18/AI18</f>
        <v>0.48522855511632268</v>
      </c>
    </row>
    <row r="15" spans="1:36" x14ac:dyDescent="0.25">
      <c r="A15" t="s">
        <v>40</v>
      </c>
      <c r="D15" t="s">
        <v>91</v>
      </c>
      <c r="I15" t="s">
        <v>49</v>
      </c>
      <c r="L15" t="s">
        <v>94</v>
      </c>
      <c r="P15"/>
      <c r="T15" s="6"/>
      <c r="AC15" t="s">
        <v>49</v>
      </c>
      <c r="AE15">
        <f>0</f>
        <v>0</v>
      </c>
      <c r="AF15">
        <f>AF14+AE15</f>
        <v>1</v>
      </c>
      <c r="AG15" t="s">
        <v>175</v>
      </c>
      <c r="AH15">
        <f t="shared" ref="AH15:AH18" si="3">1/LOG(D42,2)</f>
        <v>0.63092975357145742</v>
      </c>
      <c r="AI15">
        <f t="shared" si="2"/>
        <v>1.6309297535714573</v>
      </c>
    </row>
    <row r="16" spans="1:36" x14ac:dyDescent="0.25">
      <c r="A16" t="s">
        <v>41</v>
      </c>
      <c r="D16" t="s">
        <v>92</v>
      </c>
      <c r="I16" t="s">
        <v>47</v>
      </c>
      <c r="L16" t="s">
        <v>93</v>
      </c>
      <c r="P16"/>
      <c r="T16" s="6"/>
      <c r="AC16" t="s">
        <v>47</v>
      </c>
      <c r="AE16">
        <f>0</f>
        <v>0</v>
      </c>
      <c r="AF16">
        <f t="shared" ref="AF16:AF18" si="4">AF15+AE16</f>
        <v>1</v>
      </c>
      <c r="AG16" t="s">
        <v>176</v>
      </c>
      <c r="AH16">
        <f t="shared" si="3"/>
        <v>0.5</v>
      </c>
      <c r="AI16">
        <f t="shared" si="2"/>
        <v>2.1309297535714573</v>
      </c>
    </row>
    <row r="17" spans="1:36" x14ac:dyDescent="0.25">
      <c r="A17" t="s">
        <v>42</v>
      </c>
      <c r="D17" t="s">
        <v>93</v>
      </c>
      <c r="I17" t="s">
        <v>48</v>
      </c>
      <c r="L17" t="s">
        <v>91</v>
      </c>
      <c r="P17" t="s">
        <v>115</v>
      </c>
      <c r="T17" s="6"/>
      <c r="AC17" t="s">
        <v>48</v>
      </c>
      <c r="AD17" t="s">
        <v>115</v>
      </c>
      <c r="AE17">
        <f>1/LOG(5,2)</f>
        <v>0.43067655807339306</v>
      </c>
      <c r="AF17">
        <f t="shared" si="4"/>
        <v>1.4306765580733931</v>
      </c>
      <c r="AG17" t="s">
        <v>177</v>
      </c>
      <c r="AH17">
        <f t="shared" si="3"/>
        <v>0.43067655807339306</v>
      </c>
      <c r="AI17">
        <f t="shared" si="2"/>
        <v>2.5616063116448502</v>
      </c>
    </row>
    <row r="18" spans="1:36" x14ac:dyDescent="0.25">
      <c r="A18" t="s">
        <v>43</v>
      </c>
      <c r="D18" t="s">
        <v>94</v>
      </c>
      <c r="I18" t="s">
        <v>53</v>
      </c>
      <c r="L18" t="s">
        <v>97</v>
      </c>
      <c r="T18" s="6"/>
      <c r="AC18" t="s">
        <v>53</v>
      </c>
      <c r="AE18">
        <v>0</v>
      </c>
      <c r="AF18">
        <f t="shared" si="4"/>
        <v>1.4306765580733931</v>
      </c>
      <c r="AG18" t="s">
        <v>178</v>
      </c>
      <c r="AH18">
        <f t="shared" si="3"/>
        <v>0.38685280723454163</v>
      </c>
      <c r="AI18">
        <f t="shared" si="2"/>
        <v>2.9484591188793918</v>
      </c>
    </row>
    <row r="19" spans="1:36" x14ac:dyDescent="0.25">
      <c r="A19" t="s">
        <v>44</v>
      </c>
      <c r="D19" t="s">
        <v>95</v>
      </c>
      <c r="P19"/>
      <c r="T19" s="6"/>
    </row>
    <row r="20" spans="1:36" x14ac:dyDescent="0.25">
      <c r="A20" t="s">
        <v>45</v>
      </c>
      <c r="D20" t="s">
        <v>96</v>
      </c>
      <c r="I20" t="s">
        <v>61</v>
      </c>
      <c r="L20" t="s">
        <v>102</v>
      </c>
      <c r="P20"/>
      <c r="Q20">
        <v>0</v>
      </c>
      <c r="R20" s="6" t="s">
        <v>121</v>
      </c>
      <c r="S20">
        <v>0</v>
      </c>
      <c r="T20" s="6" t="s">
        <v>126</v>
      </c>
      <c r="U20">
        <v>0</v>
      </c>
      <c r="W20">
        <v>0</v>
      </c>
      <c r="AC20" t="s">
        <v>61</v>
      </c>
    </row>
    <row r="21" spans="1:36" x14ac:dyDescent="0.25">
      <c r="A21" t="s">
        <v>46</v>
      </c>
      <c r="D21" t="s">
        <v>97</v>
      </c>
      <c r="I21" t="s">
        <v>58</v>
      </c>
      <c r="P21"/>
      <c r="T21" s="6"/>
      <c r="AC21" t="s">
        <v>58</v>
      </c>
    </row>
    <row r="22" spans="1:36" x14ac:dyDescent="0.25">
      <c r="A22" t="s">
        <v>47</v>
      </c>
      <c r="D22" t="s">
        <v>98</v>
      </c>
      <c r="I22" t="s">
        <v>62</v>
      </c>
      <c r="P22"/>
      <c r="T22" s="6"/>
      <c r="AC22" t="s">
        <v>62</v>
      </c>
    </row>
    <row r="23" spans="1:36" x14ac:dyDescent="0.25">
      <c r="A23" t="s">
        <v>48</v>
      </c>
      <c r="D23" t="s">
        <v>99</v>
      </c>
      <c r="I23" t="s">
        <v>59</v>
      </c>
      <c r="P23"/>
      <c r="T23" s="6"/>
      <c r="AC23" t="s">
        <v>59</v>
      </c>
    </row>
    <row r="24" spans="1:36" x14ac:dyDescent="0.25">
      <c r="A24" t="s">
        <v>49</v>
      </c>
      <c r="D24" t="s">
        <v>100</v>
      </c>
      <c r="I24" t="s">
        <v>63</v>
      </c>
      <c r="P24"/>
      <c r="T24" s="6"/>
      <c r="AC24" t="s">
        <v>63</v>
      </c>
    </row>
    <row r="25" spans="1:36" x14ac:dyDescent="0.25">
      <c r="A25" t="s">
        <v>50</v>
      </c>
      <c r="D25" t="s">
        <v>101</v>
      </c>
      <c r="P25"/>
      <c r="T25" s="6"/>
    </row>
    <row r="26" spans="1:36" x14ac:dyDescent="0.25">
      <c r="A26" t="s">
        <v>51</v>
      </c>
      <c r="D26" t="s">
        <v>102</v>
      </c>
      <c r="I26" t="s">
        <v>67</v>
      </c>
      <c r="L26" t="s">
        <v>106</v>
      </c>
      <c r="O26" t="s">
        <v>134</v>
      </c>
      <c r="P26" t="s">
        <v>115</v>
      </c>
      <c r="Q26">
        <v>1</v>
      </c>
      <c r="R26" s="6" t="s">
        <v>135</v>
      </c>
      <c r="S26">
        <v>0.8</v>
      </c>
      <c r="T26" s="6" t="s">
        <v>127</v>
      </c>
      <c r="U26">
        <v>1</v>
      </c>
      <c r="W26">
        <f>2*(S26*U26)/(S26+U26)</f>
        <v>0.88888888888888895</v>
      </c>
      <c r="AC26" t="s">
        <v>67</v>
      </c>
      <c r="AD26" t="s">
        <v>115</v>
      </c>
      <c r="AE26">
        <f>1/LOG(D41,2)</f>
        <v>1</v>
      </c>
      <c r="AF26">
        <f>AF25+AE26</f>
        <v>1</v>
      </c>
      <c r="AG26" t="s">
        <v>179</v>
      </c>
      <c r="AH26">
        <f>1/LOG(D41,2)</f>
        <v>1</v>
      </c>
      <c r="AI26">
        <f t="shared" ref="AI26:AI30" si="5">AI25+AH26</f>
        <v>1</v>
      </c>
      <c r="AJ26">
        <f>AF30/AI30</f>
        <v>1</v>
      </c>
    </row>
    <row r="27" spans="1:36" x14ac:dyDescent="0.25">
      <c r="A27" t="s">
        <v>52</v>
      </c>
      <c r="D27" t="s">
        <v>103</v>
      </c>
      <c r="I27" t="s">
        <v>71</v>
      </c>
      <c r="L27" t="s">
        <v>113</v>
      </c>
      <c r="P27" t="s">
        <v>115</v>
      </c>
      <c r="T27" s="6"/>
      <c r="AC27" t="s">
        <v>71</v>
      </c>
      <c r="AD27" t="s">
        <v>115</v>
      </c>
      <c r="AE27">
        <f t="shared" ref="AE27:AE29" si="6">1/LOG(D42,2)</f>
        <v>0.63092975357145742</v>
      </c>
      <c r="AF27">
        <f t="shared" ref="AF27:AF30" si="7">AF26+AE27</f>
        <v>1.6309297535714573</v>
      </c>
      <c r="AG27" t="s">
        <v>180</v>
      </c>
      <c r="AH27">
        <f t="shared" ref="AH27:AH29" si="8">1/LOG(D42,2)</f>
        <v>0.63092975357145742</v>
      </c>
      <c r="AI27">
        <f t="shared" si="5"/>
        <v>1.6309297535714573</v>
      </c>
    </row>
    <row r="28" spans="1:36" x14ac:dyDescent="0.25">
      <c r="A28" t="s">
        <v>53</v>
      </c>
      <c r="D28" t="s">
        <v>104</v>
      </c>
      <c r="I28" t="s">
        <v>69</v>
      </c>
      <c r="L28" t="s">
        <v>110</v>
      </c>
      <c r="P28" t="s">
        <v>115</v>
      </c>
      <c r="T28" s="6"/>
      <c r="AC28" t="s">
        <v>69</v>
      </c>
      <c r="AD28" t="s">
        <v>115</v>
      </c>
      <c r="AE28">
        <f t="shared" si="6"/>
        <v>0.5</v>
      </c>
      <c r="AF28">
        <f t="shared" si="7"/>
        <v>2.1309297535714573</v>
      </c>
      <c r="AG28" t="s">
        <v>181</v>
      </c>
      <c r="AH28">
        <f t="shared" si="8"/>
        <v>0.5</v>
      </c>
      <c r="AI28">
        <f t="shared" si="5"/>
        <v>2.1309297535714573</v>
      </c>
    </row>
    <row r="29" spans="1:36" x14ac:dyDescent="0.25">
      <c r="A29" t="s">
        <v>54</v>
      </c>
      <c r="D29" t="s">
        <v>105</v>
      </c>
      <c r="I29" t="s">
        <v>68</v>
      </c>
      <c r="L29" t="s">
        <v>108</v>
      </c>
      <c r="P29" t="s">
        <v>115</v>
      </c>
      <c r="T29" s="6"/>
      <c r="AC29" t="s">
        <v>68</v>
      </c>
      <c r="AD29" t="s">
        <v>115</v>
      </c>
      <c r="AE29">
        <f t="shared" si="6"/>
        <v>0.43067655807339306</v>
      </c>
      <c r="AF29">
        <f t="shared" si="7"/>
        <v>2.5616063116448502</v>
      </c>
      <c r="AG29" t="s">
        <v>182</v>
      </c>
      <c r="AH29">
        <f t="shared" si="8"/>
        <v>0.43067655807339306</v>
      </c>
      <c r="AI29">
        <f t="shared" si="5"/>
        <v>2.5616063116448502</v>
      </c>
    </row>
    <row r="30" spans="1:36" x14ac:dyDescent="0.25">
      <c r="A30" t="s">
        <v>55</v>
      </c>
      <c r="D30" t="s">
        <v>106</v>
      </c>
      <c r="I30" t="s">
        <v>70</v>
      </c>
      <c r="P30"/>
      <c r="T30" s="6"/>
      <c r="AC30" t="s">
        <v>70</v>
      </c>
      <c r="AE30">
        <v>0</v>
      </c>
      <c r="AF30">
        <f t="shared" si="7"/>
        <v>2.5616063116448502</v>
      </c>
      <c r="AG30" t="s">
        <v>183</v>
      </c>
      <c r="AH30">
        <v>0</v>
      </c>
      <c r="AI30">
        <f t="shared" si="5"/>
        <v>2.5616063116448502</v>
      </c>
    </row>
    <row r="31" spans="1:36" x14ac:dyDescent="0.25">
      <c r="A31" t="s">
        <v>56</v>
      </c>
      <c r="D31" t="s">
        <v>107</v>
      </c>
      <c r="P31"/>
      <c r="R31" s="6" t="s">
        <v>137</v>
      </c>
      <c r="S31">
        <f>(S2+S8+S14+S20+S26)/5</f>
        <v>0.4</v>
      </c>
      <c r="T31" s="6"/>
      <c r="U31">
        <f>SUM(U2,U8,U14,U20,U26)/5</f>
        <v>0.57999999999999996</v>
      </c>
      <c r="W31">
        <f>AVERAGE(W2,W8,W14,W26,W20)</f>
        <v>0.46492063492063496</v>
      </c>
    </row>
    <row r="32" spans="1:36" x14ac:dyDescent="0.25">
      <c r="A32" t="s">
        <v>57</v>
      </c>
      <c r="D32" t="s">
        <v>108</v>
      </c>
    </row>
    <row r="33" spans="1:30" x14ac:dyDescent="0.25">
      <c r="A33" t="s">
        <v>58</v>
      </c>
      <c r="D33" t="s">
        <v>109</v>
      </c>
      <c r="AC33" s="8" t="s">
        <v>184</v>
      </c>
      <c r="AD33">
        <f>(AJ2+AJ8+AJ14+AJ26)/5</f>
        <v>0.55150826731340408</v>
      </c>
    </row>
    <row r="34" spans="1:30" x14ac:dyDescent="0.25">
      <c r="A34" t="s">
        <v>59</v>
      </c>
      <c r="D34" t="s">
        <v>110</v>
      </c>
      <c r="I34" t="s">
        <v>129</v>
      </c>
      <c r="J34" t="s">
        <v>116</v>
      </c>
      <c r="K34">
        <f>(Q2+Q8+Q14+Q20+H26+Q26)/5</f>
        <v>0.8</v>
      </c>
    </row>
    <row r="35" spans="1:30" x14ac:dyDescent="0.25">
      <c r="A35" t="s">
        <v>60</v>
      </c>
      <c r="D35" t="s">
        <v>111</v>
      </c>
      <c r="I35" t="s">
        <v>117</v>
      </c>
    </row>
    <row r="36" spans="1:30" x14ac:dyDescent="0.25">
      <c r="A36" t="s">
        <v>61</v>
      </c>
      <c r="D36" t="s">
        <v>112</v>
      </c>
      <c r="I36" t="s">
        <v>123</v>
      </c>
    </row>
    <row r="37" spans="1:30" x14ac:dyDescent="0.25">
      <c r="A37" t="s">
        <v>62</v>
      </c>
      <c r="D37" t="s">
        <v>113</v>
      </c>
    </row>
    <row r="38" spans="1:30" x14ac:dyDescent="0.25">
      <c r="A38" t="s">
        <v>63</v>
      </c>
    </row>
    <row r="39" spans="1:30" x14ac:dyDescent="0.25">
      <c r="A39" t="s">
        <v>64</v>
      </c>
    </row>
    <row r="40" spans="1:30" x14ac:dyDescent="0.25">
      <c r="A40" t="s">
        <v>65</v>
      </c>
    </row>
    <row r="41" spans="1:30" x14ac:dyDescent="0.25">
      <c r="A41" t="s">
        <v>66</v>
      </c>
      <c r="D41">
        <v>2</v>
      </c>
    </row>
    <row r="42" spans="1:30" x14ac:dyDescent="0.25">
      <c r="A42" t="s">
        <v>67</v>
      </c>
      <c r="D42">
        <v>3</v>
      </c>
    </row>
    <row r="43" spans="1:30" x14ac:dyDescent="0.25">
      <c r="A43" t="s">
        <v>68</v>
      </c>
      <c r="D43">
        <v>4</v>
      </c>
    </row>
    <row r="44" spans="1:30" x14ac:dyDescent="0.25">
      <c r="A44" t="s">
        <v>69</v>
      </c>
      <c r="D44">
        <v>5</v>
      </c>
    </row>
    <row r="45" spans="1:30" x14ac:dyDescent="0.25">
      <c r="A45" t="s">
        <v>70</v>
      </c>
      <c r="D45">
        <v>6</v>
      </c>
    </row>
    <row r="46" spans="1:30" x14ac:dyDescent="0.25">
      <c r="A46" t="s">
        <v>71</v>
      </c>
    </row>
    <row r="47" spans="1:30" x14ac:dyDescent="0.25">
      <c r="A47" t="s">
        <v>72</v>
      </c>
    </row>
    <row r="48" spans="1:30" x14ac:dyDescent="0.25">
      <c r="A48" t="s">
        <v>73</v>
      </c>
    </row>
    <row r="49" spans="1:14" x14ac:dyDescent="0.25">
      <c r="A49" t="s">
        <v>74</v>
      </c>
      <c r="N49">
        <f>LOG(3.2)</f>
        <v>0.50514997831990605</v>
      </c>
    </row>
    <row r="50" spans="1:14" x14ac:dyDescent="0.25">
      <c r="A50" t="s">
        <v>75</v>
      </c>
    </row>
    <row r="51" spans="1:14" x14ac:dyDescent="0.25">
      <c r="A51" t="s">
        <v>76</v>
      </c>
    </row>
  </sheetData>
  <hyperlinks>
    <hyperlink ref="AC33" r:id="rId1" xr:uid="{6E93E25E-16DE-40B1-9DD5-B7A00E89D5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C5CD-1F85-463D-8FF1-660D0CEB495D}">
  <dimension ref="A1:W126"/>
  <sheetViews>
    <sheetView tabSelected="1" topLeftCell="E1" workbookViewId="0">
      <selection activeCell="O27" sqref="O27"/>
    </sheetView>
  </sheetViews>
  <sheetFormatPr defaultRowHeight="15" x14ac:dyDescent="0.25"/>
  <cols>
    <col min="13" max="13" width="16.85546875" customWidth="1"/>
    <col min="14" max="18" width="22.85546875" bestFit="1" customWidth="1"/>
    <col min="19" max="20" width="23.140625" customWidth="1"/>
    <col min="21" max="23" width="22.85546875" bestFit="1" customWidth="1"/>
  </cols>
  <sheetData>
    <row r="1" spans="1:23" x14ac:dyDescent="0.25">
      <c r="A1" t="s">
        <v>141</v>
      </c>
    </row>
    <row r="2" spans="1:23" x14ac:dyDescent="0.25">
      <c r="A2" t="s">
        <v>185</v>
      </c>
      <c r="D2" t="s">
        <v>186</v>
      </c>
      <c r="I2" s="8" t="s">
        <v>187</v>
      </c>
    </row>
    <row r="3" spans="1:23" x14ac:dyDescent="0.25">
      <c r="A3" t="s">
        <v>26</v>
      </c>
      <c r="D3" t="s">
        <v>77</v>
      </c>
      <c r="H3" t="s">
        <v>12</v>
      </c>
      <c r="I3" t="s">
        <v>26</v>
      </c>
      <c r="M3" s="7" t="s">
        <v>188</v>
      </c>
      <c r="P3" t="s">
        <v>263</v>
      </c>
    </row>
    <row r="4" spans="1:23" x14ac:dyDescent="0.25">
      <c r="A4" t="s">
        <v>27</v>
      </c>
      <c r="D4" t="s">
        <v>78</v>
      </c>
      <c r="H4" t="s">
        <v>114</v>
      </c>
      <c r="I4" t="s">
        <v>27</v>
      </c>
      <c r="M4" s="7" t="s">
        <v>189</v>
      </c>
    </row>
    <row r="5" spans="1:23" x14ac:dyDescent="0.25">
      <c r="A5" t="s">
        <v>28</v>
      </c>
      <c r="D5" t="s">
        <v>79</v>
      </c>
      <c r="I5" t="s">
        <v>28</v>
      </c>
      <c r="M5" s="7" t="s">
        <v>190</v>
      </c>
      <c r="P5" t="s">
        <v>264</v>
      </c>
    </row>
    <row r="6" spans="1:23" x14ac:dyDescent="0.25">
      <c r="A6" t="s">
        <v>29</v>
      </c>
      <c r="D6" t="s">
        <v>80</v>
      </c>
      <c r="I6" t="s">
        <v>29</v>
      </c>
      <c r="M6" s="7" t="s">
        <v>191</v>
      </c>
    </row>
    <row r="7" spans="1:23" x14ac:dyDescent="0.25">
      <c r="A7" t="s">
        <v>30</v>
      </c>
      <c r="D7" t="s">
        <v>81</v>
      </c>
      <c r="I7" t="s">
        <v>30</v>
      </c>
      <c r="M7" s="7" t="s">
        <v>192</v>
      </c>
      <c r="O7" t="s">
        <v>284</v>
      </c>
      <c r="P7" t="s">
        <v>288</v>
      </c>
      <c r="Q7" t="s">
        <v>291</v>
      </c>
      <c r="R7" t="s">
        <v>305</v>
      </c>
    </row>
    <row r="8" spans="1:23" x14ac:dyDescent="0.25">
      <c r="A8" t="s">
        <v>31</v>
      </c>
      <c r="D8" t="s">
        <v>82</v>
      </c>
      <c r="I8" t="s">
        <v>31</v>
      </c>
      <c r="M8" s="7" t="s">
        <v>193</v>
      </c>
      <c r="O8">
        <v>20</v>
      </c>
      <c r="P8">
        <f>(N24+N49+N74+N99+N124)/5</f>
        <v>0.22399999999999998</v>
      </c>
      <c r="Q8">
        <f>(N25+N50+N75+N100+N125)/5</f>
        <v>0.87776190476190474</v>
      </c>
      <c r="R8">
        <f>(N26+N51+N76+N101+N126)/5</f>
        <v>0.81986057538775425</v>
      </c>
    </row>
    <row r="9" spans="1:23" x14ac:dyDescent="0.25">
      <c r="A9" t="s">
        <v>32</v>
      </c>
      <c r="D9" t="s">
        <v>83</v>
      </c>
      <c r="N9">
        <v>1</v>
      </c>
      <c r="O9">
        <v>2</v>
      </c>
      <c r="P9">
        <v>3</v>
      </c>
      <c r="Q9">
        <v>4</v>
      </c>
      <c r="R9">
        <v>5</v>
      </c>
      <c r="S9">
        <v>6</v>
      </c>
      <c r="T9">
        <v>7</v>
      </c>
      <c r="U9">
        <v>8</v>
      </c>
      <c r="V9">
        <v>9</v>
      </c>
      <c r="W9">
        <v>10</v>
      </c>
    </row>
    <row r="10" spans="1:23" x14ac:dyDescent="0.25">
      <c r="A10" t="s">
        <v>33</v>
      </c>
      <c r="D10" t="s">
        <v>84</v>
      </c>
      <c r="I10" t="s">
        <v>37</v>
      </c>
      <c r="M10" t="s">
        <v>194</v>
      </c>
      <c r="N10" t="s">
        <v>195</v>
      </c>
      <c r="O10" t="s">
        <v>196</v>
      </c>
      <c r="P10" t="s">
        <v>197</v>
      </c>
      <c r="Q10" t="s">
        <v>198</v>
      </c>
      <c r="R10" t="s">
        <v>199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</row>
    <row r="11" spans="1:23" x14ac:dyDescent="0.25">
      <c r="A11" t="s">
        <v>34</v>
      </c>
      <c r="D11" t="s">
        <v>85</v>
      </c>
      <c r="I11" t="s">
        <v>39</v>
      </c>
      <c r="M11" t="s">
        <v>281</v>
      </c>
      <c r="N11" t="s">
        <v>265</v>
      </c>
      <c r="O11" t="s">
        <v>265</v>
      </c>
      <c r="P11" t="s">
        <v>265</v>
      </c>
      <c r="Q11" t="s">
        <v>265</v>
      </c>
      <c r="R11" t="s">
        <v>266</v>
      </c>
      <c r="S11" t="s">
        <v>266</v>
      </c>
      <c r="T11" t="s">
        <v>266</v>
      </c>
      <c r="U11" t="s">
        <v>267</v>
      </c>
      <c r="V11" t="s">
        <v>267</v>
      </c>
      <c r="W11" t="s">
        <v>285</v>
      </c>
    </row>
    <row r="12" spans="1:23" x14ac:dyDescent="0.25">
      <c r="A12" t="s">
        <v>35</v>
      </c>
      <c r="D12" t="s">
        <v>86</v>
      </c>
      <c r="I12" t="s">
        <v>38</v>
      </c>
      <c r="M12" t="s">
        <v>282</v>
      </c>
      <c r="N12" t="s">
        <v>266</v>
      </c>
      <c r="O12" t="s">
        <v>267</v>
      </c>
      <c r="P12" t="s">
        <v>285</v>
      </c>
      <c r="Q12" t="s">
        <v>268</v>
      </c>
      <c r="R12" t="s">
        <v>267</v>
      </c>
      <c r="S12" t="s">
        <v>285</v>
      </c>
      <c r="T12" t="s">
        <v>268</v>
      </c>
      <c r="U12" t="s">
        <v>285</v>
      </c>
      <c r="V12" t="s">
        <v>268</v>
      </c>
      <c r="W12" t="s">
        <v>268</v>
      </c>
    </row>
    <row r="13" spans="1:23" x14ac:dyDescent="0.25">
      <c r="A13" t="s">
        <v>36</v>
      </c>
      <c r="D13" t="s">
        <v>87</v>
      </c>
      <c r="I13" t="s">
        <v>41</v>
      </c>
      <c r="M13" t="s">
        <v>283</v>
      </c>
      <c r="N13">
        <v>8</v>
      </c>
      <c r="O13">
        <v>6</v>
      </c>
      <c r="P13">
        <v>7</v>
      </c>
      <c r="Q13">
        <v>6</v>
      </c>
      <c r="R13">
        <v>2</v>
      </c>
      <c r="S13">
        <v>5</v>
      </c>
      <c r="T13">
        <v>4</v>
      </c>
      <c r="U13">
        <v>5</v>
      </c>
      <c r="V13">
        <v>4</v>
      </c>
      <c r="W13">
        <v>1</v>
      </c>
    </row>
    <row r="14" spans="1:23" x14ac:dyDescent="0.25">
      <c r="A14" t="s">
        <v>37</v>
      </c>
      <c r="D14" t="s">
        <v>88</v>
      </c>
      <c r="I14" t="s">
        <v>40</v>
      </c>
      <c r="M14" t="s">
        <v>289</v>
      </c>
      <c r="N14">
        <v>0</v>
      </c>
      <c r="O14">
        <v>1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 x14ac:dyDescent="0.25">
      <c r="A15" t="s">
        <v>38</v>
      </c>
      <c r="D15" t="s">
        <v>89</v>
      </c>
      <c r="M15" t="s">
        <v>299</v>
      </c>
      <c r="N15">
        <v>8</v>
      </c>
      <c r="O15">
        <v>7</v>
      </c>
      <c r="P15">
        <v>7</v>
      </c>
      <c r="Q15">
        <v>6</v>
      </c>
      <c r="R15">
        <v>4</v>
      </c>
      <c r="S15">
        <v>5</v>
      </c>
      <c r="T15">
        <v>4</v>
      </c>
      <c r="U15">
        <v>5</v>
      </c>
      <c r="V15">
        <v>4</v>
      </c>
      <c r="W15">
        <v>2</v>
      </c>
    </row>
    <row r="16" spans="1:23" x14ac:dyDescent="0.25">
      <c r="A16" t="s">
        <v>39</v>
      </c>
      <c r="D16" t="s">
        <v>90</v>
      </c>
      <c r="I16" t="s">
        <v>56</v>
      </c>
      <c r="M16" t="s">
        <v>300</v>
      </c>
      <c r="N16">
        <v>0</v>
      </c>
      <c r="O16">
        <v>1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 x14ac:dyDescent="0.25">
      <c r="A17" t="s">
        <v>40</v>
      </c>
      <c r="D17" t="s">
        <v>91</v>
      </c>
      <c r="I17" t="s">
        <v>49</v>
      </c>
      <c r="M17" t="s">
        <v>303</v>
      </c>
      <c r="N17">
        <v>5</v>
      </c>
      <c r="O17">
        <v>5</v>
      </c>
      <c r="P17">
        <v>5</v>
      </c>
      <c r="Q17">
        <v>5</v>
      </c>
      <c r="R17">
        <v>3</v>
      </c>
      <c r="S17">
        <v>3</v>
      </c>
      <c r="T17">
        <v>3</v>
      </c>
      <c r="U17">
        <v>3</v>
      </c>
      <c r="V17">
        <v>3</v>
      </c>
      <c r="W17">
        <v>2</v>
      </c>
    </row>
    <row r="18" spans="1:23" x14ac:dyDescent="0.25">
      <c r="A18" t="s">
        <v>41</v>
      </c>
      <c r="D18" t="s">
        <v>92</v>
      </c>
      <c r="I18" t="s">
        <v>47</v>
      </c>
      <c r="M18" t="s">
        <v>304</v>
      </c>
      <c r="N18">
        <v>3</v>
      </c>
      <c r="O18">
        <v>3</v>
      </c>
      <c r="P18">
        <v>2</v>
      </c>
      <c r="Q18">
        <v>1</v>
      </c>
      <c r="R18">
        <v>3</v>
      </c>
      <c r="S18">
        <v>2</v>
      </c>
      <c r="T18">
        <v>1</v>
      </c>
      <c r="U18">
        <v>2</v>
      </c>
      <c r="V18">
        <v>1</v>
      </c>
      <c r="W18">
        <v>1</v>
      </c>
    </row>
    <row r="19" spans="1:23" x14ac:dyDescent="0.25">
      <c r="A19" t="s">
        <v>42</v>
      </c>
      <c r="D19" t="s">
        <v>93</v>
      </c>
      <c r="I19" t="s">
        <v>48</v>
      </c>
      <c r="M19" t="s">
        <v>301</v>
      </c>
      <c r="N19">
        <f>SQRT(N17)</f>
        <v>2.2360679774997898</v>
      </c>
      <c r="O19">
        <f t="shared" ref="O19:W19" si="0">SQRT(O17)</f>
        <v>2.2360679774997898</v>
      </c>
      <c r="P19">
        <f t="shared" si="0"/>
        <v>2.2360679774997898</v>
      </c>
      <c r="Q19">
        <f t="shared" si="0"/>
        <v>2.2360679774997898</v>
      </c>
      <c r="R19">
        <f t="shared" si="0"/>
        <v>1.7320508075688772</v>
      </c>
      <c r="S19">
        <f t="shared" si="0"/>
        <v>1.7320508075688772</v>
      </c>
      <c r="T19">
        <f t="shared" si="0"/>
        <v>1.7320508075688772</v>
      </c>
      <c r="U19">
        <f t="shared" si="0"/>
        <v>1.7320508075688772</v>
      </c>
      <c r="V19">
        <f t="shared" si="0"/>
        <v>1.7320508075688772</v>
      </c>
      <c r="W19">
        <f t="shared" si="0"/>
        <v>1.4142135623730951</v>
      </c>
    </row>
    <row r="20" spans="1:23" x14ac:dyDescent="0.25">
      <c r="A20" t="s">
        <v>43</v>
      </c>
      <c r="D20" t="s">
        <v>94</v>
      </c>
      <c r="I20" t="s">
        <v>53</v>
      </c>
      <c r="M20" t="s">
        <v>302</v>
      </c>
      <c r="N20">
        <f>SQRT(N18)</f>
        <v>1.7320508075688772</v>
      </c>
      <c r="O20">
        <f t="shared" ref="O20:W20" si="1">SQRT(O18)</f>
        <v>1.7320508075688772</v>
      </c>
      <c r="P20">
        <f t="shared" si="1"/>
        <v>1.4142135623730951</v>
      </c>
      <c r="Q20">
        <f t="shared" si="1"/>
        <v>1</v>
      </c>
      <c r="R20">
        <f t="shared" si="1"/>
        <v>1.7320508075688772</v>
      </c>
      <c r="S20">
        <f t="shared" si="1"/>
        <v>1.4142135623730951</v>
      </c>
      <c r="T20">
        <f t="shared" si="1"/>
        <v>1</v>
      </c>
      <c r="U20">
        <f t="shared" si="1"/>
        <v>1.4142135623730951</v>
      </c>
      <c r="V20">
        <f t="shared" si="1"/>
        <v>1</v>
      </c>
      <c r="W20">
        <f t="shared" si="1"/>
        <v>1</v>
      </c>
    </row>
    <row r="21" spans="1:23" x14ac:dyDescent="0.25">
      <c r="A21" t="s">
        <v>44</v>
      </c>
      <c r="D21" t="s">
        <v>95</v>
      </c>
      <c r="M21" t="s">
        <v>293</v>
      </c>
      <c r="N21" s="9">
        <f>8/$O8</f>
        <v>0.4</v>
      </c>
      <c r="O21" s="9">
        <f>O13/O8</f>
        <v>0.3</v>
      </c>
      <c r="P21" s="9">
        <f>P13/$O8</f>
        <v>0.35</v>
      </c>
      <c r="Q21" s="9">
        <f>Q13/$O8</f>
        <v>0.3</v>
      </c>
      <c r="R21" s="9">
        <f>R13/$O8</f>
        <v>0.1</v>
      </c>
      <c r="S21" s="9">
        <f>S13/$O8</f>
        <v>0.25</v>
      </c>
      <c r="T21" s="9">
        <f>T13/$O8</f>
        <v>0.2</v>
      </c>
      <c r="U21" s="9">
        <f>U13/$O8</f>
        <v>0.25</v>
      </c>
      <c r="V21" s="9">
        <f>V13/$O8</f>
        <v>0.2</v>
      </c>
      <c r="W21" s="9">
        <f>W13/$O8</f>
        <v>0.05</v>
      </c>
    </row>
    <row r="22" spans="1:23" x14ac:dyDescent="0.25">
      <c r="A22" t="s">
        <v>45</v>
      </c>
      <c r="D22" t="s">
        <v>96</v>
      </c>
      <c r="I22" t="s">
        <v>61</v>
      </c>
      <c r="M22" t="s">
        <v>294</v>
      </c>
      <c r="N22">
        <f>1-(N14/N15)</f>
        <v>1</v>
      </c>
      <c r="O22">
        <f>1-(O14/O15)</f>
        <v>0.85714285714285721</v>
      </c>
      <c r="P22">
        <f>1-(P14/P15)</f>
        <v>1</v>
      </c>
      <c r="Q22">
        <f>1-(Q14/Q15)</f>
        <v>1</v>
      </c>
      <c r="R22">
        <f>1-(R14/R15)</f>
        <v>0.5</v>
      </c>
      <c r="S22">
        <f>1-(S14/S15)</f>
        <v>1</v>
      </c>
      <c r="T22">
        <f>1-(T14/T15)</f>
        <v>1</v>
      </c>
      <c r="U22">
        <f>1-(U14/U15)</f>
        <v>1</v>
      </c>
      <c r="V22">
        <f>1-(V14/V15)</f>
        <v>1</v>
      </c>
      <c r="W22">
        <f>1-(W14/W15)</f>
        <v>0.5</v>
      </c>
    </row>
    <row r="23" spans="1:23" x14ac:dyDescent="0.25">
      <c r="A23" t="s">
        <v>46</v>
      </c>
      <c r="D23" t="s">
        <v>97</v>
      </c>
      <c r="I23" t="s">
        <v>58</v>
      </c>
      <c r="M23" t="s">
        <v>295</v>
      </c>
      <c r="N23">
        <f>1-(N16/(N19*N20))</f>
        <v>1</v>
      </c>
      <c r="O23">
        <f t="shared" ref="O23:W23" si="2">1-(O16/(O19*O20))</f>
        <v>0.7418011102528389</v>
      </c>
      <c r="P23">
        <f t="shared" si="2"/>
        <v>1</v>
      </c>
      <c r="Q23">
        <f t="shared" si="2"/>
        <v>1</v>
      </c>
      <c r="R23">
        <f t="shared" si="2"/>
        <v>0.33333333333333326</v>
      </c>
      <c r="S23">
        <f t="shared" si="2"/>
        <v>1</v>
      </c>
      <c r="T23">
        <f t="shared" si="2"/>
        <v>1</v>
      </c>
      <c r="U23">
        <f t="shared" si="2"/>
        <v>1</v>
      </c>
      <c r="V23">
        <f t="shared" si="2"/>
        <v>1</v>
      </c>
      <c r="W23">
        <f t="shared" si="2"/>
        <v>0.29289321881345254</v>
      </c>
    </row>
    <row r="24" spans="1:23" x14ac:dyDescent="0.25">
      <c r="A24" t="s">
        <v>47</v>
      </c>
      <c r="D24" t="s">
        <v>98</v>
      </c>
      <c r="I24" t="s">
        <v>62</v>
      </c>
      <c r="M24" t="s">
        <v>286</v>
      </c>
      <c r="N24" s="9">
        <f>(N21+O21+P21+Q21+R21+S21+T21+U21+V21+W21)/10</f>
        <v>0.24</v>
      </c>
    </row>
    <row r="25" spans="1:23" x14ac:dyDescent="0.25">
      <c r="A25" t="s">
        <v>48</v>
      </c>
      <c r="D25" t="s">
        <v>99</v>
      </c>
      <c r="I25" t="s">
        <v>59</v>
      </c>
      <c r="M25" t="s">
        <v>291</v>
      </c>
      <c r="N25">
        <f>(N22+O22+Q22+P22+R22+S22+T22+U22+V22+W22)/10</f>
        <v>0.88571428571428579</v>
      </c>
    </row>
    <row r="26" spans="1:23" x14ac:dyDescent="0.25">
      <c r="A26" t="s">
        <v>49</v>
      </c>
      <c r="D26" t="s">
        <v>100</v>
      </c>
      <c r="I26" t="s">
        <v>63</v>
      </c>
      <c r="M26" t="s">
        <v>292</v>
      </c>
      <c r="N26">
        <f>(N23+O23+P23+Q23+R23+S23+T23+U23+V23+W23)/10</f>
        <v>0.83680276623996241</v>
      </c>
    </row>
    <row r="27" spans="1:23" x14ac:dyDescent="0.25">
      <c r="A27" t="s">
        <v>50</v>
      </c>
      <c r="D27" t="s">
        <v>101</v>
      </c>
    </row>
    <row r="28" spans="1:23" x14ac:dyDescent="0.25">
      <c r="A28" t="s">
        <v>51</v>
      </c>
      <c r="D28" t="s">
        <v>102</v>
      </c>
      <c r="I28" t="s">
        <v>67</v>
      </c>
      <c r="M28" s="7" t="s">
        <v>205</v>
      </c>
    </row>
    <row r="29" spans="1:23" x14ac:dyDescent="0.25">
      <c r="A29" t="s">
        <v>52</v>
      </c>
      <c r="D29" t="s">
        <v>103</v>
      </c>
      <c r="I29" t="s">
        <v>71</v>
      </c>
      <c r="M29" s="7" t="s">
        <v>189</v>
      </c>
    </row>
    <row r="30" spans="1:23" x14ac:dyDescent="0.25">
      <c r="A30" t="s">
        <v>53</v>
      </c>
      <c r="D30" t="s">
        <v>104</v>
      </c>
      <c r="I30" t="s">
        <v>69</v>
      </c>
      <c r="M30" s="7" t="s">
        <v>206</v>
      </c>
    </row>
    <row r="31" spans="1:23" x14ac:dyDescent="0.25">
      <c r="A31" t="s">
        <v>54</v>
      </c>
      <c r="D31" t="s">
        <v>105</v>
      </c>
      <c r="I31" t="s">
        <v>68</v>
      </c>
      <c r="M31" s="7" t="s">
        <v>207</v>
      </c>
    </row>
    <row r="32" spans="1:23" x14ac:dyDescent="0.25">
      <c r="A32" t="s">
        <v>55</v>
      </c>
      <c r="D32" t="s">
        <v>106</v>
      </c>
      <c r="I32" t="s">
        <v>70</v>
      </c>
      <c r="M32" s="7" t="s">
        <v>208</v>
      </c>
    </row>
    <row r="33" spans="1:23" x14ac:dyDescent="0.25">
      <c r="A33" t="s">
        <v>56</v>
      </c>
      <c r="D33" t="s">
        <v>107</v>
      </c>
      <c r="M33" s="7" t="s">
        <v>209</v>
      </c>
    </row>
    <row r="34" spans="1:23" x14ac:dyDescent="0.25">
      <c r="A34" t="s">
        <v>57</v>
      </c>
      <c r="D34" t="s">
        <v>108</v>
      </c>
      <c r="N34">
        <v>1</v>
      </c>
      <c r="O34">
        <v>2</v>
      </c>
      <c r="P34">
        <v>3</v>
      </c>
      <c r="Q34">
        <v>4</v>
      </c>
      <c r="R34">
        <v>5</v>
      </c>
      <c r="S34">
        <v>6</v>
      </c>
      <c r="T34">
        <v>7</v>
      </c>
      <c r="U34">
        <v>8</v>
      </c>
      <c r="V34">
        <v>9</v>
      </c>
      <c r="W34">
        <v>10</v>
      </c>
    </row>
    <row r="35" spans="1:23" x14ac:dyDescent="0.25">
      <c r="A35" t="s">
        <v>58</v>
      </c>
      <c r="D35" t="s">
        <v>109</v>
      </c>
      <c r="M35" t="s">
        <v>194</v>
      </c>
      <c r="N35" s="7" t="s">
        <v>210</v>
      </c>
      <c r="O35" s="7" t="s">
        <v>211</v>
      </c>
      <c r="P35" s="7" t="s">
        <v>212</v>
      </c>
      <c r="Q35" s="7" t="s">
        <v>213</v>
      </c>
      <c r="R35" s="7" t="s">
        <v>214</v>
      </c>
      <c r="S35" s="7" t="s">
        <v>215</v>
      </c>
      <c r="T35" s="7" t="s">
        <v>216</v>
      </c>
      <c r="U35" s="7" t="s">
        <v>217</v>
      </c>
      <c r="V35" s="7" t="s">
        <v>218</v>
      </c>
      <c r="W35" s="7" t="s">
        <v>219</v>
      </c>
    </row>
    <row r="36" spans="1:23" x14ac:dyDescent="0.25">
      <c r="A36" t="s">
        <v>59</v>
      </c>
      <c r="D36" t="s">
        <v>110</v>
      </c>
      <c r="M36" t="s">
        <v>281</v>
      </c>
      <c r="N36" t="s">
        <v>265</v>
      </c>
      <c r="O36" t="s">
        <v>265</v>
      </c>
      <c r="P36" t="s">
        <v>265</v>
      </c>
      <c r="Q36" t="s">
        <v>265</v>
      </c>
      <c r="R36" t="s">
        <v>269</v>
      </c>
      <c r="S36" t="s">
        <v>269</v>
      </c>
      <c r="T36" t="s">
        <v>269</v>
      </c>
      <c r="U36" t="s">
        <v>270</v>
      </c>
      <c r="V36" t="s">
        <v>270</v>
      </c>
      <c r="W36" t="s">
        <v>271</v>
      </c>
    </row>
    <row r="37" spans="1:23" x14ac:dyDescent="0.25">
      <c r="A37" t="s">
        <v>60</v>
      </c>
      <c r="D37" t="s">
        <v>111</v>
      </c>
      <c r="M37" t="s">
        <v>282</v>
      </c>
      <c r="N37" t="s">
        <v>269</v>
      </c>
      <c r="O37" t="s">
        <v>270</v>
      </c>
      <c r="P37" t="s">
        <v>271</v>
      </c>
      <c r="Q37" t="s">
        <v>272</v>
      </c>
      <c r="R37" t="s">
        <v>270</v>
      </c>
      <c r="S37" t="s">
        <v>271</v>
      </c>
      <c r="T37" t="s">
        <v>272</v>
      </c>
      <c r="U37" t="s">
        <v>271</v>
      </c>
      <c r="V37" t="s">
        <v>272</v>
      </c>
      <c r="W37" t="s">
        <v>272</v>
      </c>
    </row>
    <row r="38" spans="1:23" x14ac:dyDescent="0.25">
      <c r="A38" t="s">
        <v>61</v>
      </c>
      <c r="D38" t="s">
        <v>112</v>
      </c>
      <c r="M38" t="s">
        <v>287</v>
      </c>
      <c r="N38">
        <v>2</v>
      </c>
      <c r="O38">
        <v>5</v>
      </c>
      <c r="P38">
        <v>4</v>
      </c>
      <c r="Q38">
        <v>7</v>
      </c>
      <c r="R38">
        <v>5</v>
      </c>
      <c r="S38">
        <v>4</v>
      </c>
      <c r="T38">
        <v>5</v>
      </c>
      <c r="U38">
        <v>1</v>
      </c>
      <c r="V38">
        <v>4</v>
      </c>
      <c r="W38">
        <v>3</v>
      </c>
    </row>
    <row r="39" spans="1:23" x14ac:dyDescent="0.25">
      <c r="A39" t="s">
        <v>62</v>
      </c>
      <c r="D39" t="s">
        <v>113</v>
      </c>
      <c r="M39" t="s">
        <v>289</v>
      </c>
      <c r="N39">
        <v>3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</row>
    <row r="40" spans="1:23" x14ac:dyDescent="0.25">
      <c r="A40" t="s">
        <v>63</v>
      </c>
      <c r="M40" t="s">
        <v>299</v>
      </c>
      <c r="N40">
        <v>5</v>
      </c>
      <c r="O40">
        <v>6</v>
      </c>
      <c r="P40">
        <v>5</v>
      </c>
      <c r="Q40">
        <v>7</v>
      </c>
      <c r="R40">
        <v>5</v>
      </c>
      <c r="S40">
        <v>4</v>
      </c>
      <c r="T40">
        <v>5</v>
      </c>
      <c r="U40">
        <v>2</v>
      </c>
      <c r="V40">
        <v>4</v>
      </c>
      <c r="W40">
        <v>3</v>
      </c>
    </row>
    <row r="41" spans="1:23" x14ac:dyDescent="0.25">
      <c r="A41" t="s">
        <v>64</v>
      </c>
      <c r="M41" t="s">
        <v>300</v>
      </c>
      <c r="N41">
        <f>N39</f>
        <v>3</v>
      </c>
      <c r="O41">
        <f t="shared" ref="O41:W41" si="3">O39</f>
        <v>1</v>
      </c>
      <c r="P41">
        <f t="shared" si="3"/>
        <v>1</v>
      </c>
      <c r="Q41">
        <f t="shared" si="3"/>
        <v>0</v>
      </c>
      <c r="R41">
        <f t="shared" si="3"/>
        <v>0</v>
      </c>
      <c r="S41">
        <f t="shared" si="3"/>
        <v>0</v>
      </c>
      <c r="T41">
        <f t="shared" si="3"/>
        <v>0</v>
      </c>
      <c r="U41">
        <f t="shared" si="3"/>
        <v>1</v>
      </c>
      <c r="V41">
        <f t="shared" si="3"/>
        <v>0</v>
      </c>
      <c r="W41">
        <f t="shared" si="3"/>
        <v>0</v>
      </c>
    </row>
    <row r="42" spans="1:23" x14ac:dyDescent="0.25">
      <c r="A42" t="s">
        <v>65</v>
      </c>
      <c r="M42" t="s">
        <v>303</v>
      </c>
      <c r="N42">
        <v>5</v>
      </c>
      <c r="O42">
        <v>5</v>
      </c>
      <c r="P42">
        <v>5</v>
      </c>
      <c r="Q42">
        <v>4</v>
      </c>
      <c r="R42">
        <v>3</v>
      </c>
      <c r="S42">
        <v>3</v>
      </c>
      <c r="T42">
        <v>3</v>
      </c>
      <c r="U42">
        <v>2</v>
      </c>
      <c r="V42">
        <v>1</v>
      </c>
      <c r="W42">
        <v>1</v>
      </c>
    </row>
    <row r="43" spans="1:23" x14ac:dyDescent="0.25">
      <c r="A43" t="s">
        <v>66</v>
      </c>
      <c r="M43" t="s">
        <v>304</v>
      </c>
      <c r="N43">
        <v>3</v>
      </c>
      <c r="O43">
        <v>2</v>
      </c>
      <c r="P43">
        <v>1</v>
      </c>
      <c r="Q43">
        <v>2</v>
      </c>
      <c r="R43">
        <v>2</v>
      </c>
      <c r="S43">
        <v>1</v>
      </c>
      <c r="T43">
        <v>2</v>
      </c>
      <c r="U43">
        <v>1</v>
      </c>
      <c r="V43">
        <v>2</v>
      </c>
      <c r="W43">
        <v>2</v>
      </c>
    </row>
    <row r="44" spans="1:23" x14ac:dyDescent="0.25">
      <c r="A44" t="s">
        <v>67</v>
      </c>
      <c r="M44" t="s">
        <v>301</v>
      </c>
      <c r="N44">
        <f>SQRT(N42)</f>
        <v>2.2360679774997898</v>
      </c>
      <c r="O44">
        <f t="shared" ref="O44:W44" si="4">SQRT(O42)</f>
        <v>2.2360679774997898</v>
      </c>
      <c r="P44">
        <f t="shared" si="4"/>
        <v>2.2360679774997898</v>
      </c>
      <c r="Q44">
        <f t="shared" si="4"/>
        <v>2</v>
      </c>
      <c r="R44">
        <f t="shared" si="4"/>
        <v>1.7320508075688772</v>
      </c>
      <c r="S44">
        <f t="shared" si="4"/>
        <v>1.7320508075688772</v>
      </c>
      <c r="T44">
        <f t="shared" si="4"/>
        <v>1.7320508075688772</v>
      </c>
      <c r="U44">
        <f t="shared" si="4"/>
        <v>1.4142135623730951</v>
      </c>
      <c r="V44">
        <f t="shared" si="4"/>
        <v>1</v>
      </c>
      <c r="W44">
        <f t="shared" si="4"/>
        <v>1</v>
      </c>
    </row>
    <row r="45" spans="1:23" x14ac:dyDescent="0.25">
      <c r="A45" t="s">
        <v>68</v>
      </c>
      <c r="M45" t="s">
        <v>302</v>
      </c>
      <c r="N45">
        <f>SQRT(N43)</f>
        <v>1.7320508075688772</v>
      </c>
      <c r="O45">
        <f t="shared" ref="O45:W45" si="5">SQRT(O43)</f>
        <v>1.4142135623730951</v>
      </c>
      <c r="P45">
        <f t="shared" si="5"/>
        <v>1</v>
      </c>
      <c r="Q45">
        <f t="shared" si="5"/>
        <v>1.4142135623730951</v>
      </c>
      <c r="R45">
        <f t="shared" si="5"/>
        <v>1.4142135623730951</v>
      </c>
      <c r="S45">
        <f t="shared" si="5"/>
        <v>1</v>
      </c>
      <c r="T45">
        <f t="shared" si="5"/>
        <v>1.4142135623730951</v>
      </c>
      <c r="U45">
        <f t="shared" si="5"/>
        <v>1</v>
      </c>
      <c r="V45">
        <f t="shared" si="5"/>
        <v>1.4142135623730951</v>
      </c>
      <c r="W45">
        <f t="shared" si="5"/>
        <v>1.4142135623730951</v>
      </c>
    </row>
    <row r="46" spans="1:23" x14ac:dyDescent="0.25">
      <c r="A46" t="s">
        <v>69</v>
      </c>
      <c r="M46" t="s">
        <v>293</v>
      </c>
      <c r="N46" s="9">
        <f>N38/$O8</f>
        <v>0.1</v>
      </c>
      <c r="O46" s="9">
        <f>O38/$O8</f>
        <v>0.25</v>
      </c>
      <c r="P46" s="9">
        <f>P38/$O8</f>
        <v>0.2</v>
      </c>
      <c r="Q46" s="9">
        <f>Q38/$O8</f>
        <v>0.35</v>
      </c>
      <c r="R46" s="9">
        <f>R38/$O8</f>
        <v>0.25</v>
      </c>
      <c r="S46" s="9">
        <f>S38/$O8</f>
        <v>0.2</v>
      </c>
      <c r="T46" s="9">
        <f>T38/$O8</f>
        <v>0.25</v>
      </c>
      <c r="U46" s="9">
        <f>U38/$O8</f>
        <v>0.05</v>
      </c>
      <c r="V46" s="9">
        <f>V38/$O8</f>
        <v>0.2</v>
      </c>
      <c r="W46" s="9">
        <f>W38/$O8</f>
        <v>0.15</v>
      </c>
    </row>
    <row r="47" spans="1:23" x14ac:dyDescent="0.25">
      <c r="A47" t="s">
        <v>70</v>
      </c>
      <c r="M47" t="s">
        <v>294</v>
      </c>
      <c r="N47">
        <f>1-(N39/N40)</f>
        <v>0.4</v>
      </c>
      <c r="O47">
        <f>1-(O39/O40)</f>
        <v>0.83333333333333337</v>
      </c>
      <c r="P47">
        <f>1-(P39/P40)</f>
        <v>0.8</v>
      </c>
      <c r="Q47">
        <f>1-(Q39/Q40)</f>
        <v>1</v>
      </c>
      <c r="R47">
        <f>1-(R39/R40)</f>
        <v>1</v>
      </c>
      <c r="S47">
        <f>1-(S39/S40)</f>
        <v>1</v>
      </c>
      <c r="T47">
        <f>1-(T39/T40)</f>
        <v>1</v>
      </c>
      <c r="U47">
        <f>1-(U39/U40)</f>
        <v>0.5</v>
      </c>
      <c r="V47">
        <f>1-(V39/V40)</f>
        <v>1</v>
      </c>
      <c r="W47">
        <f>1-(W39/W40)</f>
        <v>1</v>
      </c>
    </row>
    <row r="48" spans="1:23" x14ac:dyDescent="0.25">
      <c r="A48" t="s">
        <v>71</v>
      </c>
      <c r="M48" t="s">
        <v>295</v>
      </c>
      <c r="N48">
        <f>1-(N41/(N44*N45))</f>
        <v>0.2254033307585166</v>
      </c>
      <c r="O48">
        <f t="shared" ref="O48:W48" si="6">1-(O41/(O44*O45))</f>
        <v>0.683772233983162</v>
      </c>
      <c r="P48">
        <f t="shared" si="6"/>
        <v>0.55278640450004213</v>
      </c>
      <c r="Q48">
        <f t="shared" si="6"/>
        <v>1</v>
      </c>
      <c r="R48">
        <f t="shared" si="6"/>
        <v>1</v>
      </c>
      <c r="S48">
        <f t="shared" si="6"/>
        <v>1</v>
      </c>
      <c r="T48">
        <f t="shared" si="6"/>
        <v>1</v>
      </c>
      <c r="U48">
        <f t="shared" si="6"/>
        <v>0.29289321881345254</v>
      </c>
      <c r="V48">
        <f t="shared" si="6"/>
        <v>1</v>
      </c>
      <c r="W48">
        <f t="shared" si="6"/>
        <v>1</v>
      </c>
    </row>
    <row r="49" spans="1:23" x14ac:dyDescent="0.25">
      <c r="A49" t="s">
        <v>72</v>
      </c>
      <c r="M49" t="s">
        <v>286</v>
      </c>
      <c r="N49" s="9">
        <f>(N46+O46+P46+Q46+R46+S46+T46+U46+V46+W46)/10</f>
        <v>0.19999999999999998</v>
      </c>
    </row>
    <row r="50" spans="1:23" x14ac:dyDescent="0.25">
      <c r="A50" t="s">
        <v>73</v>
      </c>
      <c r="M50" t="s">
        <v>291</v>
      </c>
      <c r="N50">
        <f>(N47+O47+Q47+P47+R47+S47+T47+U47+V47+W47)/10</f>
        <v>0.85333333333333328</v>
      </c>
    </row>
    <row r="51" spans="1:23" x14ac:dyDescent="0.25">
      <c r="A51" t="s">
        <v>74</v>
      </c>
      <c r="M51" t="s">
        <v>292</v>
      </c>
      <c r="N51">
        <f>(N48+O48+P48+Q48+R48+S48+T48+U48+V48+W48)/10</f>
        <v>0.77548551880551719</v>
      </c>
    </row>
    <row r="52" spans="1:23" x14ac:dyDescent="0.25">
      <c r="A52" t="s">
        <v>75</v>
      </c>
    </row>
    <row r="53" spans="1:23" x14ac:dyDescent="0.25">
      <c r="A53" t="s">
        <v>76</v>
      </c>
      <c r="M53" s="7" t="s">
        <v>220</v>
      </c>
    </row>
    <row r="54" spans="1:23" x14ac:dyDescent="0.25">
      <c r="M54" s="7" t="s">
        <v>221</v>
      </c>
    </row>
    <row r="55" spans="1:23" x14ac:dyDescent="0.25">
      <c r="M55" s="7" t="s">
        <v>222</v>
      </c>
    </row>
    <row r="56" spans="1:23" x14ac:dyDescent="0.25">
      <c r="M56" s="7" t="s">
        <v>190</v>
      </c>
    </row>
    <row r="57" spans="1:23" x14ac:dyDescent="0.25">
      <c r="M57" s="7" t="s">
        <v>223</v>
      </c>
    </row>
    <row r="58" spans="1:23" x14ac:dyDescent="0.25">
      <c r="M58" s="7" t="s">
        <v>224</v>
      </c>
    </row>
    <row r="59" spans="1:23" x14ac:dyDescent="0.25">
      <c r="N59">
        <v>1</v>
      </c>
      <c r="O59">
        <v>2</v>
      </c>
      <c r="P59">
        <v>3</v>
      </c>
      <c r="Q59">
        <v>4</v>
      </c>
      <c r="R59">
        <v>5</v>
      </c>
      <c r="S59">
        <v>6</v>
      </c>
      <c r="T59">
        <v>7</v>
      </c>
      <c r="U59">
        <v>8</v>
      </c>
      <c r="V59">
        <v>9</v>
      </c>
      <c r="W59">
        <v>10</v>
      </c>
    </row>
    <row r="60" spans="1:23" x14ac:dyDescent="0.25">
      <c r="M60" t="s">
        <v>194</v>
      </c>
      <c r="N60" s="7" t="s">
        <v>225</v>
      </c>
      <c r="O60" s="7" t="s">
        <v>226</v>
      </c>
      <c r="P60" s="7" t="s">
        <v>227</v>
      </c>
      <c r="Q60" s="7" t="s">
        <v>228</v>
      </c>
      <c r="R60" s="7" t="s">
        <v>229</v>
      </c>
      <c r="S60" s="7" t="s">
        <v>230</v>
      </c>
      <c r="T60" s="7" t="s">
        <v>231</v>
      </c>
      <c r="U60" s="7" t="s">
        <v>232</v>
      </c>
      <c r="V60" s="7" t="s">
        <v>233</v>
      </c>
      <c r="W60" s="7" t="s">
        <v>234</v>
      </c>
    </row>
    <row r="61" spans="1:23" x14ac:dyDescent="0.25">
      <c r="M61" t="s">
        <v>281</v>
      </c>
      <c r="N61" t="s">
        <v>273</v>
      </c>
      <c r="O61" t="s">
        <v>273</v>
      </c>
      <c r="P61" t="s">
        <v>273</v>
      </c>
      <c r="Q61" t="s">
        <v>273</v>
      </c>
      <c r="R61" t="s">
        <v>274</v>
      </c>
      <c r="S61" t="s">
        <v>274</v>
      </c>
      <c r="T61" t="s">
        <v>274</v>
      </c>
      <c r="U61" t="s">
        <v>266</v>
      </c>
      <c r="V61" t="s">
        <v>266</v>
      </c>
      <c r="W61" t="s">
        <v>275</v>
      </c>
    </row>
    <row r="62" spans="1:23" x14ac:dyDescent="0.25">
      <c r="M62" t="s">
        <v>282</v>
      </c>
      <c r="N62" t="s">
        <v>274</v>
      </c>
      <c r="O62" t="s">
        <v>266</v>
      </c>
      <c r="P62" t="s">
        <v>275</v>
      </c>
      <c r="Q62" t="s">
        <v>276</v>
      </c>
      <c r="R62" t="s">
        <v>266</v>
      </c>
      <c r="S62" t="s">
        <v>275</v>
      </c>
      <c r="T62" t="s">
        <v>276</v>
      </c>
      <c r="U62" t="s">
        <v>275</v>
      </c>
      <c r="V62" t="s">
        <v>276</v>
      </c>
      <c r="W62" t="s">
        <v>276</v>
      </c>
    </row>
    <row r="63" spans="1:23" x14ac:dyDescent="0.25">
      <c r="M63" t="s">
        <v>287</v>
      </c>
      <c r="N63">
        <v>6</v>
      </c>
      <c r="O63">
        <v>4</v>
      </c>
      <c r="P63">
        <v>6</v>
      </c>
      <c r="Q63">
        <v>6</v>
      </c>
      <c r="R63">
        <v>6</v>
      </c>
      <c r="S63">
        <v>6</v>
      </c>
      <c r="T63">
        <v>8</v>
      </c>
      <c r="U63">
        <v>6</v>
      </c>
      <c r="V63">
        <v>2</v>
      </c>
      <c r="W63">
        <v>4</v>
      </c>
    </row>
    <row r="64" spans="1:23" x14ac:dyDescent="0.25">
      <c r="M64" t="s">
        <v>297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3</v>
      </c>
      <c r="W64">
        <v>2</v>
      </c>
    </row>
    <row r="65" spans="13:23" x14ac:dyDescent="0.25">
      <c r="M65" t="s">
        <v>299</v>
      </c>
      <c r="N65">
        <v>6</v>
      </c>
      <c r="O65">
        <v>5</v>
      </c>
      <c r="P65">
        <v>6</v>
      </c>
      <c r="Q65">
        <v>7</v>
      </c>
      <c r="R65">
        <v>6</v>
      </c>
      <c r="S65">
        <v>6</v>
      </c>
      <c r="T65">
        <v>8</v>
      </c>
      <c r="U65">
        <v>6</v>
      </c>
      <c r="V65">
        <v>5</v>
      </c>
      <c r="W65">
        <v>6</v>
      </c>
    </row>
    <row r="66" spans="13:23" x14ac:dyDescent="0.25">
      <c r="M66" t="s">
        <v>300</v>
      </c>
      <c r="N66">
        <f>N64</f>
        <v>0</v>
      </c>
      <c r="O66">
        <f t="shared" ref="O66:W66" si="7">O64</f>
        <v>1</v>
      </c>
      <c r="P66">
        <f t="shared" si="7"/>
        <v>0</v>
      </c>
      <c r="Q66">
        <f t="shared" si="7"/>
        <v>1</v>
      </c>
      <c r="R66">
        <f t="shared" si="7"/>
        <v>0</v>
      </c>
      <c r="S66">
        <f t="shared" si="7"/>
        <v>0</v>
      </c>
      <c r="T66">
        <f t="shared" si="7"/>
        <v>0</v>
      </c>
      <c r="U66">
        <f t="shared" si="7"/>
        <v>0</v>
      </c>
      <c r="V66">
        <f t="shared" si="7"/>
        <v>3</v>
      </c>
      <c r="W66">
        <f t="shared" si="7"/>
        <v>2</v>
      </c>
    </row>
    <row r="67" spans="13:23" x14ac:dyDescent="0.25">
      <c r="M67" t="s">
        <v>303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</row>
    <row r="68" spans="13:23" x14ac:dyDescent="0.25">
      <c r="M68" t="s">
        <v>304</v>
      </c>
      <c r="N68">
        <v>3</v>
      </c>
      <c r="O68">
        <v>3</v>
      </c>
      <c r="P68">
        <v>3</v>
      </c>
      <c r="Q68">
        <v>5</v>
      </c>
      <c r="R68">
        <v>3</v>
      </c>
      <c r="S68">
        <v>3</v>
      </c>
      <c r="T68">
        <v>5</v>
      </c>
      <c r="U68">
        <v>3</v>
      </c>
      <c r="V68">
        <v>5</v>
      </c>
      <c r="W68">
        <v>5</v>
      </c>
    </row>
    <row r="69" spans="13:23" x14ac:dyDescent="0.25">
      <c r="M69" t="s">
        <v>301</v>
      </c>
      <c r="N69">
        <f>SQRT(N67)</f>
        <v>1.7320508075688772</v>
      </c>
      <c r="O69">
        <f t="shared" ref="O69:W69" si="8">SQRT(O67)</f>
        <v>1.7320508075688772</v>
      </c>
      <c r="P69">
        <f t="shared" si="8"/>
        <v>1.7320508075688772</v>
      </c>
      <c r="Q69">
        <f t="shared" si="8"/>
        <v>1.7320508075688772</v>
      </c>
      <c r="R69">
        <f t="shared" si="8"/>
        <v>1.7320508075688772</v>
      </c>
      <c r="S69">
        <f t="shared" si="8"/>
        <v>1.7320508075688772</v>
      </c>
      <c r="T69">
        <f t="shared" si="8"/>
        <v>1.7320508075688772</v>
      </c>
      <c r="U69">
        <f t="shared" si="8"/>
        <v>1.7320508075688772</v>
      </c>
      <c r="V69">
        <f t="shared" si="8"/>
        <v>1.7320508075688772</v>
      </c>
      <c r="W69">
        <f t="shared" si="8"/>
        <v>1.7320508075688772</v>
      </c>
    </row>
    <row r="70" spans="13:23" x14ac:dyDescent="0.25">
      <c r="M70" t="s">
        <v>302</v>
      </c>
      <c r="N70">
        <f>SQRT(N68)</f>
        <v>1.7320508075688772</v>
      </c>
      <c r="O70">
        <f t="shared" ref="O70:W70" si="9">SQRT(O68)</f>
        <v>1.7320508075688772</v>
      </c>
      <c r="P70">
        <f t="shared" si="9"/>
        <v>1.7320508075688772</v>
      </c>
      <c r="Q70">
        <f t="shared" si="9"/>
        <v>2.2360679774997898</v>
      </c>
      <c r="R70">
        <f t="shared" si="9"/>
        <v>1.7320508075688772</v>
      </c>
      <c r="S70">
        <f t="shared" si="9"/>
        <v>1.7320508075688772</v>
      </c>
      <c r="T70">
        <f t="shared" si="9"/>
        <v>2.2360679774997898</v>
      </c>
      <c r="U70">
        <f t="shared" si="9"/>
        <v>1.7320508075688772</v>
      </c>
      <c r="V70">
        <f t="shared" si="9"/>
        <v>2.2360679774997898</v>
      </c>
      <c r="W70">
        <f t="shared" si="9"/>
        <v>2.2360679774997898</v>
      </c>
    </row>
    <row r="71" spans="13:23" x14ac:dyDescent="0.25">
      <c r="M71" t="s">
        <v>296</v>
      </c>
      <c r="N71" s="9">
        <f>N63/$O8</f>
        <v>0.3</v>
      </c>
      <c r="O71" s="9">
        <f>O63/$O8</f>
        <v>0.2</v>
      </c>
      <c r="P71" s="9">
        <f>P63/$O8</f>
        <v>0.3</v>
      </c>
      <c r="Q71" s="9">
        <f>Q63/$O8</f>
        <v>0.3</v>
      </c>
      <c r="R71" s="9">
        <f>R63/$O8</f>
        <v>0.3</v>
      </c>
      <c r="S71" s="9">
        <f>S63/$O8</f>
        <v>0.3</v>
      </c>
      <c r="T71" s="9">
        <f>T63/$O8</f>
        <v>0.4</v>
      </c>
      <c r="U71" s="9">
        <f>U63/$O8</f>
        <v>0.3</v>
      </c>
      <c r="V71" s="9">
        <f>V63/$O8</f>
        <v>0.1</v>
      </c>
      <c r="W71" s="9">
        <f>W63/$O8</f>
        <v>0.2</v>
      </c>
    </row>
    <row r="72" spans="13:23" x14ac:dyDescent="0.25">
      <c r="M72" t="s">
        <v>294</v>
      </c>
      <c r="N72">
        <f>1-(N64/N65)</f>
        <v>1</v>
      </c>
      <c r="O72">
        <f>1-(O64/O65)</f>
        <v>0.8</v>
      </c>
      <c r="P72">
        <f>1-(P64/P65)</f>
        <v>1</v>
      </c>
      <c r="Q72">
        <f>1-(Q64/Q65)</f>
        <v>0.85714285714285721</v>
      </c>
      <c r="R72">
        <f>1-(R64/R65)</f>
        <v>1</v>
      </c>
      <c r="S72">
        <f>1-(S64/S65)</f>
        <v>1</v>
      </c>
      <c r="T72">
        <f>1-(T64/T65)</f>
        <v>1</v>
      </c>
      <c r="U72">
        <f>1-(U64/U65)</f>
        <v>1</v>
      </c>
      <c r="V72">
        <f>1-(V64/V65)</f>
        <v>0.4</v>
      </c>
      <c r="W72">
        <f>1-(W64/W65)</f>
        <v>0.66666666666666674</v>
      </c>
    </row>
    <row r="73" spans="13:23" x14ac:dyDescent="0.25">
      <c r="M73" t="s">
        <v>290</v>
      </c>
      <c r="N73">
        <f>1-(N66/(N69*N70))</f>
        <v>1</v>
      </c>
      <c r="O73">
        <f t="shared" ref="O73:W73" si="10">1-(O66/(O69*O70))</f>
        <v>0.66666666666666663</v>
      </c>
      <c r="P73">
        <f t="shared" si="10"/>
        <v>1</v>
      </c>
      <c r="Q73">
        <f t="shared" si="10"/>
        <v>0.7418011102528389</v>
      </c>
      <c r="R73">
        <f t="shared" si="10"/>
        <v>1</v>
      </c>
      <c r="S73">
        <f t="shared" si="10"/>
        <v>1</v>
      </c>
      <c r="T73">
        <f t="shared" si="10"/>
        <v>1</v>
      </c>
      <c r="U73">
        <f t="shared" si="10"/>
        <v>1</v>
      </c>
      <c r="V73">
        <f t="shared" si="10"/>
        <v>0.2254033307585166</v>
      </c>
      <c r="W73">
        <f t="shared" si="10"/>
        <v>0.4836022205056778</v>
      </c>
    </row>
    <row r="74" spans="13:23" x14ac:dyDescent="0.25">
      <c r="M74" t="s">
        <v>286</v>
      </c>
      <c r="N74" s="9">
        <f>(N71+O71+P71+Q71+R71+S71+T71+U71+V71+W71)/10</f>
        <v>0.27</v>
      </c>
    </row>
    <row r="75" spans="13:23" x14ac:dyDescent="0.25">
      <c r="M75" t="s">
        <v>291</v>
      </c>
      <c r="N75">
        <f>(N72+O72+Q72+P72+R72+S72+T72+U72+V72+W72)/10</f>
        <v>0.87238095238095226</v>
      </c>
    </row>
    <row r="76" spans="13:23" x14ac:dyDescent="0.25">
      <c r="M76" t="s">
        <v>292</v>
      </c>
      <c r="N76">
        <f>(N73+O73+P73+Q73+R73+S73+T73+U73+V73+W73)/10</f>
        <v>0.81174733281836997</v>
      </c>
    </row>
    <row r="78" spans="13:23" x14ac:dyDescent="0.25">
      <c r="M78" s="7" t="s">
        <v>251</v>
      </c>
    </row>
    <row r="79" spans="13:23" x14ac:dyDescent="0.25">
      <c r="M79" s="7" t="s">
        <v>235</v>
      </c>
    </row>
    <row r="80" spans="13:23" x14ac:dyDescent="0.25">
      <c r="M80" s="7" t="s">
        <v>236</v>
      </c>
    </row>
    <row r="81" spans="13:23" x14ac:dyDescent="0.25">
      <c r="M81" s="7" t="s">
        <v>237</v>
      </c>
    </row>
    <row r="82" spans="13:23" x14ac:dyDescent="0.25">
      <c r="M82" s="7" t="s">
        <v>238</v>
      </c>
    </row>
    <row r="83" spans="13:23" x14ac:dyDescent="0.25">
      <c r="M83" s="7" t="s">
        <v>239</v>
      </c>
    </row>
    <row r="84" spans="13:23" x14ac:dyDescent="0.25">
      <c r="N84">
        <v>1</v>
      </c>
      <c r="O84">
        <v>2</v>
      </c>
      <c r="P84">
        <v>3</v>
      </c>
      <c r="Q84">
        <v>4</v>
      </c>
      <c r="R84">
        <v>5</v>
      </c>
      <c r="S84">
        <v>6</v>
      </c>
      <c r="T84">
        <v>7</v>
      </c>
      <c r="U84">
        <v>8</v>
      </c>
      <c r="V84">
        <v>9</v>
      </c>
      <c r="W84">
        <v>10</v>
      </c>
    </row>
    <row r="85" spans="13:23" x14ac:dyDescent="0.25">
      <c r="M85" t="s">
        <v>194</v>
      </c>
      <c r="N85" s="7" t="s">
        <v>240</v>
      </c>
      <c r="O85" s="7" t="s">
        <v>241</v>
      </c>
      <c r="P85" s="7" t="s">
        <v>242</v>
      </c>
      <c r="Q85" s="7" t="s">
        <v>243</v>
      </c>
      <c r="R85" s="7" t="s">
        <v>244</v>
      </c>
      <c r="S85" s="7" t="s">
        <v>245</v>
      </c>
      <c r="T85" s="7" t="s">
        <v>246</v>
      </c>
      <c r="U85" s="7" t="s">
        <v>247</v>
      </c>
      <c r="V85" s="7" t="s">
        <v>248</v>
      </c>
      <c r="W85" s="7" t="s">
        <v>249</v>
      </c>
    </row>
    <row r="86" spans="13:23" x14ac:dyDescent="0.25">
      <c r="M86" t="s">
        <v>281</v>
      </c>
      <c r="N86" t="s">
        <v>271</v>
      </c>
      <c r="O86" t="s">
        <v>271</v>
      </c>
      <c r="P86" t="s">
        <v>271</v>
      </c>
      <c r="Q86" t="s">
        <v>271</v>
      </c>
      <c r="R86" t="s">
        <v>278</v>
      </c>
      <c r="S86" t="s">
        <v>278</v>
      </c>
      <c r="T86" t="s">
        <v>278</v>
      </c>
      <c r="U86" t="s">
        <v>279</v>
      </c>
      <c r="V86" t="s">
        <v>279</v>
      </c>
      <c r="W86" t="s">
        <v>285</v>
      </c>
    </row>
    <row r="87" spans="13:23" x14ac:dyDescent="0.25">
      <c r="M87" t="s">
        <v>282</v>
      </c>
      <c r="N87" t="s">
        <v>278</v>
      </c>
      <c r="O87" t="s">
        <v>279</v>
      </c>
      <c r="P87" t="s">
        <v>277</v>
      </c>
      <c r="Q87" t="s">
        <v>280</v>
      </c>
      <c r="R87" t="s">
        <v>279</v>
      </c>
      <c r="S87" t="s">
        <v>277</v>
      </c>
      <c r="T87" t="s">
        <v>280</v>
      </c>
      <c r="U87" t="s">
        <v>277</v>
      </c>
      <c r="V87" t="s">
        <v>280</v>
      </c>
      <c r="W87" t="s">
        <v>280</v>
      </c>
    </row>
    <row r="88" spans="13:23" x14ac:dyDescent="0.25">
      <c r="M88" t="s">
        <v>287</v>
      </c>
      <c r="N88">
        <v>3</v>
      </c>
      <c r="O88">
        <v>1</v>
      </c>
      <c r="P88">
        <v>3</v>
      </c>
      <c r="Q88">
        <v>4</v>
      </c>
      <c r="R88">
        <v>4</v>
      </c>
      <c r="S88">
        <v>2</v>
      </c>
      <c r="T88">
        <v>5</v>
      </c>
      <c r="U88">
        <v>4</v>
      </c>
      <c r="V88">
        <v>5</v>
      </c>
      <c r="W88">
        <v>3</v>
      </c>
    </row>
    <row r="89" spans="13:23" x14ac:dyDescent="0.25">
      <c r="M89" t="s">
        <v>297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</row>
    <row r="90" spans="13:23" x14ac:dyDescent="0.25">
      <c r="M90" t="s">
        <v>299</v>
      </c>
      <c r="N90">
        <v>3</v>
      </c>
      <c r="O90">
        <v>2</v>
      </c>
      <c r="P90">
        <v>3</v>
      </c>
      <c r="Q90">
        <v>4</v>
      </c>
      <c r="R90">
        <v>4</v>
      </c>
      <c r="S90">
        <v>3</v>
      </c>
      <c r="T90">
        <v>4</v>
      </c>
      <c r="U90">
        <v>4</v>
      </c>
      <c r="V90">
        <v>5</v>
      </c>
      <c r="W90">
        <v>4</v>
      </c>
    </row>
    <row r="91" spans="13:23" x14ac:dyDescent="0.25">
      <c r="M91" t="s">
        <v>300</v>
      </c>
      <c r="N91">
        <f>N89</f>
        <v>0</v>
      </c>
      <c r="O91">
        <f t="shared" ref="O91:W91" si="11">O89</f>
        <v>1</v>
      </c>
      <c r="P91">
        <f t="shared" si="11"/>
        <v>0</v>
      </c>
      <c r="Q91">
        <f t="shared" si="11"/>
        <v>0</v>
      </c>
      <c r="R91">
        <f t="shared" si="11"/>
        <v>0</v>
      </c>
      <c r="S91">
        <f t="shared" si="11"/>
        <v>1</v>
      </c>
      <c r="T91">
        <f t="shared" si="11"/>
        <v>0</v>
      </c>
      <c r="U91">
        <f t="shared" si="11"/>
        <v>0</v>
      </c>
      <c r="V91">
        <f t="shared" si="11"/>
        <v>0</v>
      </c>
      <c r="W91">
        <f t="shared" si="11"/>
        <v>1</v>
      </c>
    </row>
    <row r="92" spans="13:23" x14ac:dyDescent="0.25">
      <c r="M92" t="s">
        <v>303</v>
      </c>
      <c r="N92">
        <v>1</v>
      </c>
      <c r="O92">
        <v>1</v>
      </c>
      <c r="P92">
        <v>1</v>
      </c>
      <c r="Q92">
        <v>1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</row>
    <row r="93" spans="13:23" x14ac:dyDescent="0.25">
      <c r="M93" t="s">
        <v>304</v>
      </c>
      <c r="N93">
        <v>2</v>
      </c>
      <c r="O93">
        <v>2</v>
      </c>
      <c r="P93">
        <v>2</v>
      </c>
      <c r="Q93">
        <v>3</v>
      </c>
      <c r="R93">
        <v>2</v>
      </c>
      <c r="S93">
        <v>2</v>
      </c>
      <c r="T93">
        <v>3</v>
      </c>
      <c r="U93">
        <v>2</v>
      </c>
      <c r="V93">
        <v>3</v>
      </c>
      <c r="W93">
        <v>3</v>
      </c>
    </row>
    <row r="94" spans="13:23" x14ac:dyDescent="0.25">
      <c r="M94" t="s">
        <v>301</v>
      </c>
      <c r="N94">
        <f>SQRT(N92)</f>
        <v>1</v>
      </c>
      <c r="O94">
        <f t="shared" ref="O94:W94" si="12">SQRT(O92)</f>
        <v>1</v>
      </c>
      <c r="P94">
        <f t="shared" si="12"/>
        <v>1</v>
      </c>
      <c r="Q94">
        <f t="shared" si="12"/>
        <v>1</v>
      </c>
      <c r="R94">
        <f t="shared" si="12"/>
        <v>1.4142135623730951</v>
      </c>
      <c r="S94">
        <f t="shared" si="12"/>
        <v>1.4142135623730951</v>
      </c>
      <c r="T94">
        <f t="shared" si="12"/>
        <v>1.4142135623730951</v>
      </c>
      <c r="U94">
        <f t="shared" si="12"/>
        <v>1.4142135623730951</v>
      </c>
      <c r="V94">
        <f t="shared" si="12"/>
        <v>1.4142135623730951</v>
      </c>
      <c r="W94">
        <f t="shared" si="12"/>
        <v>1.4142135623730951</v>
      </c>
    </row>
    <row r="95" spans="13:23" x14ac:dyDescent="0.25">
      <c r="M95" t="s">
        <v>302</v>
      </c>
      <c r="N95">
        <f>SQRT(N93)</f>
        <v>1.4142135623730951</v>
      </c>
      <c r="O95">
        <f t="shared" ref="O95:W95" si="13">SQRT(O93)</f>
        <v>1.4142135623730951</v>
      </c>
      <c r="P95">
        <f t="shared" si="13"/>
        <v>1.4142135623730951</v>
      </c>
      <c r="Q95">
        <f t="shared" si="13"/>
        <v>1.7320508075688772</v>
      </c>
      <c r="R95">
        <f t="shared" si="13"/>
        <v>1.4142135623730951</v>
      </c>
      <c r="S95">
        <f t="shared" si="13"/>
        <v>1.4142135623730951</v>
      </c>
      <c r="T95">
        <f t="shared" si="13"/>
        <v>1.7320508075688772</v>
      </c>
      <c r="U95">
        <f t="shared" si="13"/>
        <v>1.4142135623730951</v>
      </c>
      <c r="V95">
        <f t="shared" si="13"/>
        <v>1.7320508075688772</v>
      </c>
      <c r="W95">
        <f t="shared" si="13"/>
        <v>1.7320508075688772</v>
      </c>
    </row>
    <row r="96" spans="13:23" x14ac:dyDescent="0.25">
      <c r="M96" t="s">
        <v>298</v>
      </c>
      <c r="N96" s="9">
        <f>N88/$O8</f>
        <v>0.15</v>
      </c>
      <c r="O96" s="9">
        <f>O88/$O8</f>
        <v>0.05</v>
      </c>
      <c r="P96" s="9">
        <f>P88/$O8</f>
        <v>0.15</v>
      </c>
      <c r="Q96" s="9">
        <f>Q88/$O8</f>
        <v>0.2</v>
      </c>
      <c r="R96" s="9">
        <f>R88/$O8</f>
        <v>0.2</v>
      </c>
      <c r="S96" s="9">
        <f>S88/$O8</f>
        <v>0.1</v>
      </c>
      <c r="T96" s="9">
        <f>T88/$O8</f>
        <v>0.25</v>
      </c>
      <c r="U96" s="9">
        <f>U88/$O8</f>
        <v>0.2</v>
      </c>
      <c r="V96" s="9">
        <f>V88/$O8</f>
        <v>0.25</v>
      </c>
      <c r="W96" s="9">
        <f>W88/$O8</f>
        <v>0.15</v>
      </c>
    </row>
    <row r="97" spans="13:23" x14ac:dyDescent="0.25">
      <c r="M97" t="s">
        <v>294</v>
      </c>
      <c r="N97">
        <f>1-(N89/N90)</f>
        <v>1</v>
      </c>
      <c r="O97">
        <f>1-(O89/O90)</f>
        <v>0.5</v>
      </c>
      <c r="P97">
        <f>1-(P89/P90)</f>
        <v>1</v>
      </c>
      <c r="Q97">
        <f>1-(Q89/Q90)</f>
        <v>1</v>
      </c>
      <c r="R97">
        <f>1-(R89/R90)</f>
        <v>1</v>
      </c>
      <c r="S97">
        <f>1-(S89/S90)</f>
        <v>0.66666666666666674</v>
      </c>
      <c r="T97">
        <f>1-(T89/T90)</f>
        <v>1</v>
      </c>
      <c r="U97">
        <f>1-(U89/U90)</f>
        <v>1</v>
      </c>
      <c r="V97">
        <f>1-(V89/V90)</f>
        <v>1</v>
      </c>
      <c r="W97">
        <f>1-(W89/W90)</f>
        <v>0.75</v>
      </c>
    </row>
    <row r="98" spans="13:23" x14ac:dyDescent="0.25">
      <c r="M98" t="s">
        <v>290</v>
      </c>
      <c r="N98">
        <f>1-(N91/(N94*N95))</f>
        <v>1</v>
      </c>
      <c r="O98">
        <f t="shared" ref="O98:W98" si="14">1-(O91/(O94*O95))</f>
        <v>0.29289321881345254</v>
      </c>
      <c r="P98">
        <f t="shared" si="14"/>
        <v>1</v>
      </c>
      <c r="Q98">
        <f t="shared" si="14"/>
        <v>1</v>
      </c>
      <c r="R98">
        <f t="shared" si="14"/>
        <v>1</v>
      </c>
      <c r="S98">
        <f t="shared" si="14"/>
        <v>0.50000000000000011</v>
      </c>
      <c r="T98">
        <f t="shared" si="14"/>
        <v>1</v>
      </c>
      <c r="U98">
        <f t="shared" si="14"/>
        <v>1</v>
      </c>
      <c r="V98">
        <f t="shared" si="14"/>
        <v>1</v>
      </c>
      <c r="W98">
        <f t="shared" si="14"/>
        <v>0.59175170953613709</v>
      </c>
    </row>
    <row r="99" spans="13:23" x14ac:dyDescent="0.25">
      <c r="M99" t="s">
        <v>286</v>
      </c>
      <c r="N99" s="9">
        <f>(N96+O96+P96+Q96+R96+S96+T96+U96+V96+W96)/10</f>
        <v>0.16999999999999998</v>
      </c>
    </row>
    <row r="100" spans="13:23" x14ac:dyDescent="0.25">
      <c r="M100" t="s">
        <v>291</v>
      </c>
      <c r="N100">
        <f>(N97+O97+Q97+P97+R97+S97+T97+U97+V97+W97)/10</f>
        <v>0.89166666666666683</v>
      </c>
    </row>
    <row r="101" spans="13:23" x14ac:dyDescent="0.25">
      <c r="M101" t="s">
        <v>292</v>
      </c>
      <c r="N101">
        <f>(N98+O98+P98+Q98+R98+S98+T98+U98+V98+W98)/10</f>
        <v>0.83846449283495894</v>
      </c>
    </row>
    <row r="103" spans="13:23" x14ac:dyDescent="0.25">
      <c r="M103" s="7" t="s">
        <v>250</v>
      </c>
    </row>
    <row r="104" spans="13:23" x14ac:dyDescent="0.25">
      <c r="M104" s="7" t="s">
        <v>189</v>
      </c>
    </row>
    <row r="105" spans="13:23" x14ac:dyDescent="0.25">
      <c r="M105" s="7" t="s">
        <v>252</v>
      </c>
    </row>
    <row r="106" spans="13:23" x14ac:dyDescent="0.25">
      <c r="M106" s="7" t="s">
        <v>253</v>
      </c>
    </row>
    <row r="107" spans="13:23" x14ac:dyDescent="0.25">
      <c r="M107" s="7" t="s">
        <v>191</v>
      </c>
    </row>
    <row r="108" spans="13:23" x14ac:dyDescent="0.25">
      <c r="M108" s="7" t="s">
        <v>238</v>
      </c>
    </row>
    <row r="109" spans="13:23" x14ac:dyDescent="0.25">
      <c r="N109">
        <v>1</v>
      </c>
      <c r="O109">
        <v>2</v>
      </c>
      <c r="P109">
        <v>3</v>
      </c>
      <c r="Q109">
        <v>4</v>
      </c>
      <c r="R109">
        <v>5</v>
      </c>
      <c r="S109">
        <v>6</v>
      </c>
      <c r="T109">
        <v>7</v>
      </c>
      <c r="U109">
        <v>8</v>
      </c>
      <c r="V109">
        <v>9</v>
      </c>
      <c r="W109">
        <v>10</v>
      </c>
    </row>
    <row r="110" spans="13:23" x14ac:dyDescent="0.25">
      <c r="M110" t="s">
        <v>194</v>
      </c>
      <c r="N110" t="s">
        <v>254</v>
      </c>
      <c r="O110" t="s">
        <v>255</v>
      </c>
      <c r="P110" t="s">
        <v>196</v>
      </c>
      <c r="Q110" t="s">
        <v>256</v>
      </c>
      <c r="R110" t="s">
        <v>257</v>
      </c>
      <c r="S110" t="s">
        <v>258</v>
      </c>
      <c r="T110" t="s">
        <v>259</v>
      </c>
      <c r="U110" t="s">
        <v>260</v>
      </c>
      <c r="V110" t="s">
        <v>261</v>
      </c>
      <c r="W110" t="s">
        <v>262</v>
      </c>
    </row>
    <row r="111" spans="13:23" x14ac:dyDescent="0.25">
      <c r="M111" t="s">
        <v>281</v>
      </c>
      <c r="N111" t="s">
        <v>265</v>
      </c>
      <c r="O111" t="s">
        <v>265</v>
      </c>
      <c r="P111" t="s">
        <v>265</v>
      </c>
      <c r="Q111" t="s">
        <v>265</v>
      </c>
      <c r="R111" t="s">
        <v>266</v>
      </c>
      <c r="S111" t="s">
        <v>266</v>
      </c>
      <c r="T111" t="s">
        <v>266</v>
      </c>
      <c r="U111" t="s">
        <v>268</v>
      </c>
      <c r="V111" t="s">
        <v>268</v>
      </c>
      <c r="W111" t="s">
        <v>267</v>
      </c>
    </row>
    <row r="112" spans="13:23" x14ac:dyDescent="0.25">
      <c r="M112" t="s">
        <v>282</v>
      </c>
      <c r="N112" t="s">
        <v>266</v>
      </c>
      <c r="O112" t="s">
        <v>268</v>
      </c>
      <c r="P112" t="s">
        <v>267</v>
      </c>
      <c r="Q112" t="s">
        <v>277</v>
      </c>
      <c r="R112" t="s">
        <v>268</v>
      </c>
      <c r="S112" t="s">
        <v>267</v>
      </c>
      <c r="T112" t="s">
        <v>285</v>
      </c>
      <c r="U112" t="s">
        <v>267</v>
      </c>
      <c r="V112" t="s">
        <v>277</v>
      </c>
      <c r="W112" t="s">
        <v>285</v>
      </c>
    </row>
    <row r="113" spans="13:23" x14ac:dyDescent="0.25">
      <c r="M113" t="s">
        <v>287</v>
      </c>
      <c r="N113">
        <v>8</v>
      </c>
      <c r="O113">
        <v>6</v>
      </c>
      <c r="P113">
        <v>6</v>
      </c>
      <c r="Q113">
        <v>7</v>
      </c>
      <c r="R113">
        <v>4</v>
      </c>
      <c r="S113">
        <v>2</v>
      </c>
      <c r="T113">
        <v>5</v>
      </c>
      <c r="U113">
        <v>4</v>
      </c>
      <c r="V113">
        <v>1</v>
      </c>
      <c r="W113">
        <v>5</v>
      </c>
    </row>
    <row r="114" spans="13:23" x14ac:dyDescent="0.25">
      <c r="M114" t="s">
        <v>297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1</v>
      </c>
      <c r="W114">
        <v>0</v>
      </c>
    </row>
    <row r="115" spans="13:23" x14ac:dyDescent="0.25">
      <c r="M115" t="s">
        <v>299</v>
      </c>
      <c r="N115">
        <v>8</v>
      </c>
      <c r="O115">
        <v>6</v>
      </c>
      <c r="P115">
        <v>7</v>
      </c>
      <c r="Q115">
        <v>7</v>
      </c>
      <c r="R115">
        <v>4</v>
      </c>
      <c r="S115">
        <v>4</v>
      </c>
      <c r="T115">
        <v>5</v>
      </c>
      <c r="U115">
        <v>4</v>
      </c>
      <c r="V115">
        <v>2</v>
      </c>
      <c r="W115">
        <v>5</v>
      </c>
    </row>
    <row r="116" spans="13:23" x14ac:dyDescent="0.25">
      <c r="M116" t="s">
        <v>300</v>
      </c>
      <c r="N116">
        <f>N114</f>
        <v>0</v>
      </c>
      <c r="O116">
        <f t="shared" ref="O116:W116" si="15">O114</f>
        <v>0</v>
      </c>
      <c r="P116">
        <f t="shared" si="15"/>
        <v>1</v>
      </c>
      <c r="Q116">
        <f t="shared" si="15"/>
        <v>0</v>
      </c>
      <c r="R116">
        <f t="shared" si="15"/>
        <v>0</v>
      </c>
      <c r="S116">
        <f t="shared" si="15"/>
        <v>2</v>
      </c>
      <c r="T116">
        <f t="shared" si="15"/>
        <v>0</v>
      </c>
      <c r="U116">
        <f t="shared" si="15"/>
        <v>0</v>
      </c>
      <c r="V116">
        <f t="shared" si="15"/>
        <v>1</v>
      </c>
      <c r="W116">
        <f t="shared" si="15"/>
        <v>0</v>
      </c>
    </row>
    <row r="117" spans="13:23" x14ac:dyDescent="0.25">
      <c r="M117" t="s">
        <v>303</v>
      </c>
      <c r="N117">
        <v>5</v>
      </c>
      <c r="O117">
        <v>5</v>
      </c>
      <c r="P117">
        <v>5</v>
      </c>
      <c r="Q117">
        <v>5</v>
      </c>
      <c r="R117">
        <v>3</v>
      </c>
      <c r="S117">
        <v>3</v>
      </c>
      <c r="T117">
        <v>3</v>
      </c>
      <c r="U117">
        <v>1</v>
      </c>
      <c r="V117">
        <v>1</v>
      </c>
      <c r="W117">
        <v>3</v>
      </c>
    </row>
    <row r="118" spans="13:23" x14ac:dyDescent="0.25">
      <c r="M118" t="s">
        <v>304</v>
      </c>
      <c r="N118">
        <v>3</v>
      </c>
      <c r="O118">
        <v>1</v>
      </c>
      <c r="P118">
        <v>3</v>
      </c>
      <c r="Q118">
        <v>2</v>
      </c>
      <c r="R118">
        <v>1</v>
      </c>
      <c r="S118">
        <v>3</v>
      </c>
      <c r="T118">
        <v>2</v>
      </c>
      <c r="U118">
        <v>3</v>
      </c>
      <c r="V118">
        <v>2</v>
      </c>
      <c r="W118">
        <v>2</v>
      </c>
    </row>
    <row r="119" spans="13:23" x14ac:dyDescent="0.25">
      <c r="M119" t="s">
        <v>301</v>
      </c>
      <c r="N119">
        <f>SQRT(N117)</f>
        <v>2.2360679774997898</v>
      </c>
      <c r="O119">
        <f t="shared" ref="O119:W119" si="16">SQRT(O117)</f>
        <v>2.2360679774997898</v>
      </c>
      <c r="P119">
        <f t="shared" si="16"/>
        <v>2.2360679774997898</v>
      </c>
      <c r="Q119">
        <f t="shared" si="16"/>
        <v>2.2360679774997898</v>
      </c>
      <c r="R119">
        <f t="shared" si="16"/>
        <v>1.7320508075688772</v>
      </c>
      <c r="S119">
        <f t="shared" si="16"/>
        <v>1.7320508075688772</v>
      </c>
      <c r="T119">
        <f t="shared" si="16"/>
        <v>1.7320508075688772</v>
      </c>
      <c r="U119">
        <f t="shared" si="16"/>
        <v>1</v>
      </c>
      <c r="V119">
        <f t="shared" si="16"/>
        <v>1</v>
      </c>
      <c r="W119">
        <f t="shared" si="16"/>
        <v>1.7320508075688772</v>
      </c>
    </row>
    <row r="120" spans="13:23" x14ac:dyDescent="0.25">
      <c r="M120" t="s">
        <v>302</v>
      </c>
      <c r="N120">
        <f>SQRT(N118)</f>
        <v>1.7320508075688772</v>
      </c>
      <c r="O120">
        <f t="shared" ref="O120:W120" si="17">SQRT(O118)</f>
        <v>1</v>
      </c>
      <c r="P120">
        <f t="shared" si="17"/>
        <v>1.7320508075688772</v>
      </c>
      <c r="Q120">
        <f t="shared" si="17"/>
        <v>1.4142135623730951</v>
      </c>
      <c r="R120">
        <f t="shared" si="17"/>
        <v>1</v>
      </c>
      <c r="S120">
        <f t="shared" si="17"/>
        <v>1.7320508075688772</v>
      </c>
      <c r="T120">
        <f t="shared" si="17"/>
        <v>1.4142135623730951</v>
      </c>
      <c r="U120">
        <f t="shared" si="17"/>
        <v>1.7320508075688772</v>
      </c>
      <c r="V120">
        <f t="shared" si="17"/>
        <v>1.4142135623730951</v>
      </c>
      <c r="W120">
        <f t="shared" si="17"/>
        <v>1.4142135623730951</v>
      </c>
    </row>
    <row r="121" spans="13:23" x14ac:dyDescent="0.25">
      <c r="M121" t="s">
        <v>298</v>
      </c>
      <c r="N121" s="9">
        <f>N113/$O8</f>
        <v>0.4</v>
      </c>
      <c r="O121" s="9">
        <f>O113/$O8</f>
        <v>0.3</v>
      </c>
      <c r="P121" s="9">
        <f>P113/$O8</f>
        <v>0.3</v>
      </c>
      <c r="Q121" s="9">
        <f>Q113/$O8</f>
        <v>0.35</v>
      </c>
      <c r="R121" s="9">
        <f>R113/$O8</f>
        <v>0.2</v>
      </c>
      <c r="S121" s="9">
        <f>S113/$O8</f>
        <v>0.1</v>
      </c>
      <c r="T121" s="9">
        <f>T113/$O8</f>
        <v>0.25</v>
      </c>
      <c r="U121" s="9">
        <f>U113/$O8</f>
        <v>0.2</v>
      </c>
      <c r="V121" s="9">
        <f>V113/$O8</f>
        <v>0.05</v>
      </c>
      <c r="W121" s="9">
        <f>W113/$O8</f>
        <v>0.25</v>
      </c>
    </row>
    <row r="122" spans="13:23" x14ac:dyDescent="0.25">
      <c r="M122" t="s">
        <v>294</v>
      </c>
      <c r="N122">
        <f>1-(N114/N115)</f>
        <v>1</v>
      </c>
      <c r="O122">
        <f>1-(O114/O115)</f>
        <v>1</v>
      </c>
      <c r="P122">
        <f>1-(P114/P115)</f>
        <v>0.85714285714285721</v>
      </c>
      <c r="Q122">
        <f>1-(Q114/Q115)</f>
        <v>1</v>
      </c>
      <c r="R122">
        <f>1-(R114/R115)</f>
        <v>1</v>
      </c>
      <c r="S122">
        <f>1-(S114/S115)</f>
        <v>0.5</v>
      </c>
      <c r="T122">
        <f>1-(T114/T115)</f>
        <v>1</v>
      </c>
      <c r="U122">
        <f>1-(U114/U115)</f>
        <v>1</v>
      </c>
      <c r="V122">
        <f>1-(V114/V115)</f>
        <v>0.5</v>
      </c>
      <c r="W122">
        <f>1-(W114/W115)</f>
        <v>1</v>
      </c>
    </row>
    <row r="123" spans="13:23" x14ac:dyDescent="0.25">
      <c r="M123" t="s">
        <v>290</v>
      </c>
      <c r="N123">
        <f>1-(N116/(N119*N120))</f>
        <v>1</v>
      </c>
      <c r="O123">
        <f t="shared" ref="O123:W123" si="18">1-(O116/(O119*O120))</f>
        <v>1</v>
      </c>
      <c r="P123">
        <f t="shared" si="18"/>
        <v>0.7418011102528389</v>
      </c>
      <c r="Q123">
        <f t="shared" si="18"/>
        <v>1</v>
      </c>
      <c r="R123">
        <f t="shared" si="18"/>
        <v>1</v>
      </c>
      <c r="S123">
        <f t="shared" si="18"/>
        <v>0.33333333333333326</v>
      </c>
      <c r="T123">
        <f t="shared" si="18"/>
        <v>1</v>
      </c>
      <c r="U123">
        <f t="shared" si="18"/>
        <v>1</v>
      </c>
      <c r="V123">
        <f t="shared" si="18"/>
        <v>0.29289321881345254</v>
      </c>
      <c r="W123">
        <f t="shared" si="18"/>
        <v>1</v>
      </c>
    </row>
    <row r="124" spans="13:23" x14ac:dyDescent="0.25">
      <c r="M124" t="s">
        <v>286</v>
      </c>
      <c r="N124" s="9">
        <f>(N121+O121+P121+Q121+R121+S121+T121+U121+V121+W121)/10</f>
        <v>0.24</v>
      </c>
    </row>
    <row r="125" spans="13:23" x14ac:dyDescent="0.25">
      <c r="M125" t="s">
        <v>291</v>
      </c>
      <c r="N125">
        <f>(N122+O122+Q122+P122+R122+S122+T122+U122+V122+W122)/10</f>
        <v>0.88571428571428579</v>
      </c>
    </row>
    <row r="126" spans="13:23" x14ac:dyDescent="0.25">
      <c r="M126" t="s">
        <v>292</v>
      </c>
      <c r="N126">
        <f>(N123+O123+P123+Q123+R123+S123+T123+U123+V123+W123)/10</f>
        <v>0.83680276623996241</v>
      </c>
    </row>
  </sheetData>
  <hyperlinks>
    <hyperlink ref="I2" r:id="rId1" xr:uid="{7777A4FF-214C-40A1-9829-7978E05403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Ranked</vt:lpstr>
      <vt:lpstr>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kwasi autzen</dc:creator>
  <cp:lastModifiedBy>jacob kwasi autzen</cp:lastModifiedBy>
  <dcterms:created xsi:type="dcterms:W3CDTF">2025-12-07T22:04:42Z</dcterms:created>
  <dcterms:modified xsi:type="dcterms:W3CDTF">2025-12-12T17:36:57Z</dcterms:modified>
</cp:coreProperties>
</file>